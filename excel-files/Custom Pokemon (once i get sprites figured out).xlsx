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<sst xmlns="http://schemas.openxmlformats.org/spreadsheetml/2006/main" count="336" uniqueCount="252">
  <si>
    <t>Pokemon Name</t>
  </si>
  <si>
    <t>Typing</t>
  </si>
  <si>
    <t>Ability</t>
  </si>
  <si>
    <t>HP</t>
  </si>
  <si>
    <t>Atk</t>
  </si>
  <si>
    <t>Def</t>
  </si>
  <si>
    <t>Spa</t>
  </si>
  <si>
    <t>SpDef</t>
  </si>
  <si>
    <t>Spe</t>
  </si>
  <si>
    <t>BST</t>
  </si>
  <si>
    <t>Design Elements</t>
  </si>
  <si>
    <t>Spiderman</t>
  </si>
  <si>
    <t>Bug/Fight</t>
  </si>
  <si>
    <t>Webslinger</t>
  </si>
  <si>
    <t>Spider Gwen</t>
  </si>
  <si>
    <t>Dark/Fairy</t>
  </si>
  <si>
    <t>Attraction</t>
  </si>
  <si>
    <t>Sandiron</t>
  </si>
  <si>
    <t>Ground/Steel</t>
  </si>
  <si>
    <t>Earth Eater</t>
  </si>
  <si>
    <t>Give him steel armor and almost drill like claws, similar to excadrill but spikier</t>
  </si>
  <si>
    <t>Mutador Base</t>
  </si>
  <si>
    <t>Normal</t>
  </si>
  <si>
    <t>Terrain Shift</t>
  </si>
  <si>
    <t>Changes form on different terrains, gains an extra effect depending on the terrain</t>
  </si>
  <si>
    <t>Mutador - Psychic</t>
  </si>
  <si>
    <t>Psychic</t>
  </si>
  <si>
    <t>All attacks have a chance to flinch</t>
  </si>
  <si>
    <t>Mutador - Grass</t>
  </si>
  <si>
    <t>Grass</t>
  </si>
  <si>
    <t>Gains Thick Fat</t>
  </si>
  <si>
    <t>Mutador - Electric</t>
  </si>
  <si>
    <t>Electric</t>
  </si>
  <si>
    <t>Gains sturdy</t>
  </si>
  <si>
    <t>Mutador - Misty</t>
  </si>
  <si>
    <t>Fairy</t>
  </si>
  <si>
    <t>Gains Cute Charm</t>
  </si>
  <si>
    <t>Mutdaor - Dark</t>
  </si>
  <si>
    <t>Dark</t>
  </si>
  <si>
    <t>Gains priority for all Dark moves</t>
  </si>
  <si>
    <t>Venom</t>
  </si>
  <si>
    <t>Alien Symbiote</t>
  </si>
  <si>
    <t>Ability: gains hp when getting a KO. When he is knocked out, transfer Alien Symbiote to the foe (and trigger the healing)</t>
  </si>
  <si>
    <t>Doc Ock</t>
  </si>
  <si>
    <t>Psychic/Steel</t>
  </si>
  <si>
    <t>Antiswitcher</t>
  </si>
  <si>
    <t>Cryopecker</t>
  </si>
  <si>
    <t>Ice/Flying</t>
  </si>
  <si>
    <t>Refrigerate</t>
  </si>
  <si>
    <t xml:space="preserve">Kyurem + pikipek fusion. </t>
  </si>
  <si>
    <t>Signature Move: Crystal Peck: Ice, Physical, BP 80, Ignores Defense boosts, 20% chance to freeze</t>
  </si>
  <si>
    <t>Mtg inspired creatures/planeswalkers</t>
  </si>
  <si>
    <t>Maha (its feathers night)</t>
  </si>
  <si>
    <t>Dark/Flying</t>
  </si>
  <si>
    <t>Night Vision</t>
  </si>
  <si>
    <t>Niv-Mizzet</t>
  </si>
  <si>
    <t>Fire/Water</t>
  </si>
  <si>
    <t>Firemind</t>
  </si>
  <si>
    <t>Liliana</t>
  </si>
  <si>
    <t>Dark/Ghost</t>
  </si>
  <si>
    <t>Necromancer</t>
  </si>
  <si>
    <t>Moxxi</t>
  </si>
  <si>
    <t>Fairy/Psychic</t>
  </si>
  <si>
    <t>Bartender</t>
  </si>
  <si>
    <t>Mega Hatterene</t>
  </si>
  <si>
    <t>Logans</t>
  </si>
  <si>
    <t>Name</t>
  </si>
  <si>
    <t>Klumph</t>
  </si>
  <si>
    <t>Grawshawg</t>
  </si>
  <si>
    <t>Nucleode</t>
  </si>
  <si>
    <t>Sporump</t>
  </si>
  <si>
    <t>Frostallion</t>
  </si>
  <si>
    <t>Seaqueen</t>
  </si>
  <si>
    <t>Queenler</t>
  </si>
  <si>
    <t>Queendra</t>
  </si>
  <si>
    <t>Cloudstrike</t>
  </si>
  <si>
    <t>Mjolnislash</t>
  </si>
  <si>
    <t>Majesting</t>
  </si>
  <si>
    <t>Obscuring</t>
  </si>
  <si>
    <t>Trolossus</t>
  </si>
  <si>
    <t>Valkirien</t>
  </si>
  <si>
    <t>Dragrism</t>
  </si>
  <si>
    <t>Jormora</t>
  </si>
  <si>
    <t>Jarnoxe</t>
  </si>
  <si>
    <t>Gjallarhorn</t>
  </si>
  <si>
    <t>Valdrion</t>
  </si>
  <si>
    <t>Ignityr</t>
  </si>
  <si>
    <t>Skarnash</t>
  </si>
  <si>
    <t>Type</t>
  </si>
  <si>
    <t>Flying/Light</t>
  </si>
  <si>
    <t>Blood/Dark</t>
  </si>
  <si>
    <t>Rock/Gamma</t>
  </si>
  <si>
    <t>Ground/Grass</t>
  </si>
  <si>
    <t>Water</t>
  </si>
  <si>
    <t>Water/Dragon</t>
  </si>
  <si>
    <t>Flying/Electric/Dragon</t>
  </si>
  <si>
    <t>Ghost/Electric</t>
  </si>
  <si>
    <t>Fire/Psychic</t>
  </si>
  <si>
    <t>Water/Dark</t>
  </si>
  <si>
    <t>Grass/Ground</t>
  </si>
  <si>
    <t>Fairy/Light</t>
  </si>
  <si>
    <t>Dragon/Normal</t>
  </si>
  <si>
    <t>Poison/Rock</t>
  </si>
  <si>
    <t>Ice/Fighting</t>
  </si>
  <si>
    <t>Flying/Steel</t>
  </si>
  <si>
    <t>Steel/Light</t>
  </si>
  <si>
    <t>Fire/Ground</t>
  </si>
  <si>
    <t>Bug/Normal</t>
  </si>
  <si>
    <t>Statstealer</t>
  </si>
  <si>
    <t>Bloodhound</t>
  </si>
  <si>
    <t>Radioactive</t>
  </si>
  <si>
    <t>Porous Wall</t>
  </si>
  <si>
    <t>Winter's Bite</t>
  </si>
  <si>
    <t>Cloud Body</t>
  </si>
  <si>
    <t>Steelworker</t>
  </si>
  <si>
    <t>Cerebral Blaze</t>
  </si>
  <si>
    <t>Torrential Howl</t>
  </si>
  <si>
    <t>Thick Fat</t>
  </si>
  <si>
    <t>Fateful Strikes</t>
  </si>
  <si>
    <t>Crystallization</t>
  </si>
  <si>
    <t>Toxic Tides</t>
  </si>
  <si>
    <t>Runesteel Hide</t>
  </si>
  <si>
    <t>Resonant Call</t>
  </si>
  <si>
    <t>Aesir's Will</t>
  </si>
  <si>
    <t>Valor's Grip</t>
  </si>
  <si>
    <t>Echo Messenger</t>
  </si>
  <si>
    <t>Move1</t>
  </si>
  <si>
    <t>Adaptive Force</t>
  </si>
  <si>
    <t>Grasping Hands</t>
  </si>
  <si>
    <t>Nuclear Explosion</t>
  </si>
  <si>
    <t>Explosive Spores</t>
  </si>
  <si>
    <t>Frozen Wings</t>
  </si>
  <si>
    <t>Revving Drill</t>
  </si>
  <si>
    <t>Striking Storm</t>
  </si>
  <si>
    <t>Worthy Return</t>
  </si>
  <si>
    <t>Lunar Tide</t>
  </si>
  <si>
    <t>Divine Rage</t>
  </si>
  <si>
    <t>Voidclaw</t>
  </si>
  <si>
    <t>Venomquake</t>
  </si>
  <si>
    <t>Runecleave</t>
  </si>
  <si>
    <t>Ragnarok Cry</t>
  </si>
  <si>
    <t>Radiant Spear</t>
  </si>
  <si>
    <t>Ember Oath</t>
  </si>
  <si>
    <t>Bark Bite</t>
  </si>
  <si>
    <t>Move2</t>
  </si>
  <si>
    <t>Knock Off</t>
  </si>
  <si>
    <t>Disorienting Bite</t>
  </si>
  <si>
    <t>Stealth Rock</t>
  </si>
  <si>
    <t>Life Sap</t>
  </si>
  <si>
    <t>Snowscape</t>
  </si>
  <si>
    <t>Stone Edge</t>
  </si>
  <si>
    <t>Wild Charge</t>
  </si>
  <si>
    <t>Move3</t>
  </si>
  <si>
    <t>Agility</t>
  </si>
  <si>
    <t>Earthquake</t>
  </si>
  <si>
    <t>Power Gem</t>
  </si>
  <si>
    <t>Root Guard</t>
  </si>
  <si>
    <t>Thunderbolt</t>
  </si>
  <si>
    <t>Earthrend</t>
  </si>
  <si>
    <t>Brave Bird</t>
  </si>
  <si>
    <t>Move4</t>
  </si>
  <si>
    <t>Work Up</t>
  </si>
  <si>
    <t>Serrated Fangs</t>
  </si>
  <si>
    <t>Gamma Ray</t>
  </si>
  <si>
    <t>Ingrain</t>
  </si>
  <si>
    <t>Earth Power</t>
  </si>
  <si>
    <t>Iron Head</t>
  </si>
  <si>
    <t>Flare Blitz</t>
  </si>
  <si>
    <t>Joeys</t>
  </si>
  <si>
    <t>My Custom Team</t>
  </si>
  <si>
    <t>BST 600</t>
  </si>
  <si>
    <t>BST 580</t>
  </si>
  <si>
    <t>BST 560</t>
  </si>
  <si>
    <t>BST 550</t>
  </si>
  <si>
    <t>BST 530</t>
  </si>
  <si>
    <t>BST 500 or under</t>
  </si>
  <si>
    <t>Arachniss</t>
  </si>
  <si>
    <t>Hexameleon</t>
  </si>
  <si>
    <t>Glimming</t>
  </si>
  <si>
    <t>Aegislam</t>
  </si>
  <si>
    <t>Polaradox</t>
  </si>
  <si>
    <t>Phantom Body</t>
  </si>
  <si>
    <t>Bug/Gamma</t>
  </si>
  <si>
    <t>Normal/Ghost</t>
  </si>
  <si>
    <t>Dragon/Fairy</t>
  </si>
  <si>
    <t>Steel/Ghost</t>
  </si>
  <si>
    <t>Ice/Psychic</t>
  </si>
  <si>
    <t>Deadly Web</t>
  </si>
  <si>
    <t>Chameleon</t>
  </si>
  <si>
    <t>Glitter Scales</t>
  </si>
  <si>
    <t>Guard Stance</t>
  </si>
  <si>
    <t>Twisted Dimensions</t>
  </si>
  <si>
    <t>Signature Move</t>
  </si>
  <si>
    <t>Nuclear Fangs</t>
  </si>
  <si>
    <t>Spirit Beam</t>
  </si>
  <si>
    <t>Beauty Coil</t>
  </si>
  <si>
    <t>Blinding Light</t>
  </si>
  <si>
    <t>Ultimate Slam</t>
  </si>
  <si>
    <t>Agonizing Beam</t>
  </si>
  <si>
    <t>Lunge</t>
  </si>
  <si>
    <t>Moonblast</t>
  </si>
  <si>
    <t>Gigaton Hammer</t>
  </si>
  <si>
    <t>Ice Beam</t>
  </si>
  <si>
    <t>Venom Fangs</t>
  </si>
  <si>
    <t>Haunt</t>
  </si>
  <si>
    <t>Dragon Pulse</t>
  </si>
  <si>
    <t>Shadow Sneak</t>
  </si>
  <si>
    <t>Sticky Web</t>
  </si>
  <si>
    <t>Eye Contact</t>
  </si>
  <si>
    <t>Hurricane</t>
  </si>
  <si>
    <t>Taunt</t>
  </si>
  <si>
    <t>Hyper Voice</t>
  </si>
  <si>
    <t>Item</t>
  </si>
  <si>
    <t>Steel Jaw</t>
  </si>
  <si>
    <t>Focus Sash</t>
  </si>
  <si>
    <t>Theme Team</t>
  </si>
  <si>
    <t>Unicorn</t>
  </si>
  <si>
    <t>Gryphon</t>
  </si>
  <si>
    <t>Dragon</t>
  </si>
  <si>
    <t>Hydra</t>
  </si>
  <si>
    <t>Mermaid</t>
  </si>
  <si>
    <t>Chimaera</t>
  </si>
  <si>
    <t>Werewolf</t>
  </si>
  <si>
    <t>Phoenix</t>
  </si>
  <si>
    <t>Centaur</t>
  </si>
  <si>
    <t>Minotaur</t>
  </si>
  <si>
    <t>Khepri</t>
  </si>
  <si>
    <t>https://en.wikipedia.org/wiki/List_of_legendary_creatures_by_type</t>
  </si>
  <si>
    <t>Level 1</t>
  </si>
  <si>
    <t>Level 2</t>
  </si>
  <si>
    <t>BOSS Pokemon</t>
  </si>
  <si>
    <t>Electric Warhorse</t>
  </si>
  <si>
    <t>Poison King</t>
  </si>
  <si>
    <t>Zappenny</t>
  </si>
  <si>
    <t>Toxarch</t>
  </si>
  <si>
    <t>Electric/Steel</t>
  </si>
  <si>
    <t>Poison/Flying</t>
  </si>
  <si>
    <t>No Guard</t>
  </si>
  <si>
    <t>Drizzle</t>
  </si>
  <si>
    <t>Zap Cannon</t>
  </si>
  <si>
    <t>Magnet Rise</t>
  </si>
  <si>
    <t>Water Spout</t>
  </si>
  <si>
    <t>Glacial Lance</t>
  </si>
  <si>
    <t>Sludge Wave</t>
  </si>
  <si>
    <t>Thousand Arrows</t>
  </si>
  <si>
    <t>Gods Team: Pics in discord</t>
  </si>
  <si>
    <t>Aphrodia Type: Fairy / Water Ability: Allure — Opponents making contact have a 50% chance to become infatuated or lose 1 level of accuracy. Hidden Ability: Serene Grace Base Stats: HP 86 / Atk 75 / Def 70 / SpA 115 / SpD 112 / Spe 102 (BST 560)</t>
  </si>
  <si>
    <t>Artemesia Type: Grass / Steel Ability: Hunter’s Instinct — If the foe is at full HP, this Pokémon’s attacks deal 1.25× damage. Hidden Ability: Sharpness Base Stats: HP 82 / Atk 120 / Def 90 / SpA 65 / SpD 85 / Spe 118 (BST 560)</t>
  </si>
  <si>
    <t>Hestara Type: Fire / Fairy Ability: Sacred Flame — Raises Sp. Def by 1 stage when hit by a Fire move (including her own). Hidden Ability: Flame Body Base Stats: HP 100 / Atk 75 / Def 85 / SpA 100 / SpD 120 / Spe 80 (BST 560)</t>
  </si>
  <si>
    <t>Persephera Type: Ghost / Grass Ability: Underworld Veil — While this Pokémon is active, opposing weather and terrain effects are nullified. Hidden Ability: Cursed Body Base Stats: HP 90 / Atk 85 / Def 80 / SpA 115 / SpD 115 / Spe 75 (BST 560)</t>
  </si>
  <si>
    <t>Athenyx Type: Psychic / Steel Ability: Tactical Mind — This Pokémon ignores secondary effects of opponent’s moves (e.g., flinch, stat drops, confusion). Hidden Ability: Battle Armor Base Stats: HP 85 / Atk 105 / Def 115 / SpA 110 / SpD 115 / Spe 70</t>
  </si>
  <si>
    <t>Heradia Type: Flying / Fairy Ability: Regal Aura — Opponents’ stat stages can’t be raised while this Pokémon is active. Hidden Ability: Pressure Base Stats: HP 92 / Atk 90 / Def 95 / SpA 110 / SpD 118 / Spe 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</si>
</sst>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List_of_legendary_creatures_by_typ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38"/>
    <col customWidth="1" min="3" max="3" width="14.13"/>
    <col customWidth="1" min="4" max="4" width="15.13"/>
    <col customWidth="1" min="5" max="5" width="14.5"/>
    <col customWidth="1" min="7" max="7" width="15.0"/>
    <col customWidth="1" min="8" max="8" width="15.88"/>
    <col customWidth="1" min="9" max="9" width="16.75"/>
    <col customWidth="1" min="11" max="11" width="20.75"/>
    <col customWidth="1" min="23" max="2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60.0</v>
      </c>
      <c r="E2" s="1">
        <v>100.0</v>
      </c>
      <c r="F2" s="1">
        <v>70.0</v>
      </c>
      <c r="G2" s="1">
        <v>100.0</v>
      </c>
      <c r="H2" s="1">
        <v>70.0</v>
      </c>
      <c r="I2" s="1">
        <v>120.0</v>
      </c>
      <c r="J2" s="2">
        <f t="shared" ref="J2:J12" si="1">SUM(D2:I2)</f>
        <v>520</v>
      </c>
    </row>
    <row r="3">
      <c r="A3" s="1" t="s">
        <v>14</v>
      </c>
      <c r="B3" s="1" t="s">
        <v>15</v>
      </c>
      <c r="C3" s="1" t="s">
        <v>16</v>
      </c>
      <c r="D3" s="1">
        <v>75.0</v>
      </c>
      <c r="E3" s="1">
        <v>50.0</v>
      </c>
      <c r="F3" s="1">
        <v>60.0</v>
      </c>
      <c r="G3" s="1">
        <v>130.0</v>
      </c>
      <c r="H3" s="1">
        <v>100.0</v>
      </c>
      <c r="I3" s="1">
        <v>105.0</v>
      </c>
      <c r="J3" s="2">
        <f t="shared" si="1"/>
        <v>520</v>
      </c>
    </row>
    <row r="4">
      <c r="A4" s="3" t="s">
        <v>17</v>
      </c>
      <c r="B4" s="1" t="s">
        <v>18</v>
      </c>
      <c r="C4" s="1" t="s">
        <v>19</v>
      </c>
      <c r="D4" s="1">
        <v>80.0</v>
      </c>
      <c r="E4" s="1">
        <v>120.0</v>
      </c>
      <c r="F4" s="1">
        <v>110.0</v>
      </c>
      <c r="G4" s="1">
        <v>45.0</v>
      </c>
      <c r="H4" s="1">
        <v>80.0</v>
      </c>
      <c r="I4" s="1">
        <v>95.0</v>
      </c>
      <c r="J4" s="2">
        <f t="shared" si="1"/>
        <v>530</v>
      </c>
      <c r="K4" s="1" t="s">
        <v>20</v>
      </c>
    </row>
    <row r="5">
      <c r="A5" s="1" t="s">
        <v>21</v>
      </c>
      <c r="B5" s="1" t="s">
        <v>22</v>
      </c>
      <c r="C5" s="1" t="s">
        <v>23</v>
      </c>
      <c r="D5" s="1">
        <v>95.0</v>
      </c>
      <c r="E5" s="1">
        <v>95.0</v>
      </c>
      <c r="F5" s="1">
        <v>95.0</v>
      </c>
      <c r="G5" s="1">
        <v>95.0</v>
      </c>
      <c r="H5" s="1">
        <v>95.0</v>
      </c>
      <c r="I5" s="1">
        <v>95.0</v>
      </c>
      <c r="J5" s="2">
        <f t="shared" si="1"/>
        <v>570</v>
      </c>
      <c r="K5" s="1" t="s">
        <v>24</v>
      </c>
    </row>
    <row r="6">
      <c r="A6" s="1" t="s">
        <v>25</v>
      </c>
      <c r="B6" s="1" t="s">
        <v>26</v>
      </c>
      <c r="C6" s="1" t="s">
        <v>23</v>
      </c>
      <c r="D6" s="1">
        <v>95.0</v>
      </c>
      <c r="E6" s="1">
        <v>60.0</v>
      </c>
      <c r="F6" s="1">
        <v>65.0</v>
      </c>
      <c r="G6" s="1">
        <v>125.0</v>
      </c>
      <c r="H6" s="1">
        <v>125.0</v>
      </c>
      <c r="I6" s="1">
        <v>100.0</v>
      </c>
      <c r="J6" s="2">
        <f t="shared" si="1"/>
        <v>570</v>
      </c>
      <c r="K6" s="1" t="s">
        <v>27</v>
      </c>
    </row>
    <row r="7">
      <c r="A7" s="1" t="s">
        <v>28</v>
      </c>
      <c r="B7" s="1" t="s">
        <v>29</v>
      </c>
      <c r="C7" s="1" t="s">
        <v>23</v>
      </c>
      <c r="D7" s="1">
        <v>95.0</v>
      </c>
      <c r="E7" s="1">
        <v>110.0</v>
      </c>
      <c r="F7" s="1">
        <v>120.0</v>
      </c>
      <c r="G7" s="1">
        <v>65.0</v>
      </c>
      <c r="H7" s="1">
        <v>120.0</v>
      </c>
      <c r="I7" s="1">
        <v>60.0</v>
      </c>
      <c r="J7" s="2">
        <f t="shared" si="1"/>
        <v>570</v>
      </c>
      <c r="K7" s="1" t="s">
        <v>30</v>
      </c>
    </row>
    <row r="8">
      <c r="A8" s="1" t="s">
        <v>31</v>
      </c>
      <c r="B8" s="1" t="s">
        <v>32</v>
      </c>
      <c r="C8" s="1" t="s">
        <v>23</v>
      </c>
      <c r="D8" s="1">
        <v>95.0</v>
      </c>
      <c r="E8" s="1">
        <v>55.0</v>
      </c>
      <c r="F8" s="1">
        <v>50.0</v>
      </c>
      <c r="G8" s="1">
        <v>190.0</v>
      </c>
      <c r="H8" s="1">
        <v>50.0</v>
      </c>
      <c r="I8" s="1">
        <v>130.0</v>
      </c>
      <c r="J8" s="2">
        <f t="shared" si="1"/>
        <v>570</v>
      </c>
      <c r="K8" s="1" t="s">
        <v>33</v>
      </c>
    </row>
    <row r="9">
      <c r="A9" s="1" t="s">
        <v>34</v>
      </c>
      <c r="B9" s="1" t="s">
        <v>35</v>
      </c>
      <c r="C9" s="1" t="s">
        <v>23</v>
      </c>
      <c r="D9" s="1">
        <v>95.0</v>
      </c>
      <c r="E9" s="1">
        <v>35.0</v>
      </c>
      <c r="F9" s="1">
        <v>110.0</v>
      </c>
      <c r="G9" s="1">
        <v>130.0</v>
      </c>
      <c r="H9" s="1">
        <v>110.0</v>
      </c>
      <c r="I9" s="1">
        <v>90.0</v>
      </c>
      <c r="J9" s="2">
        <f t="shared" si="1"/>
        <v>570</v>
      </c>
      <c r="K9" s="1" t="s">
        <v>36</v>
      </c>
    </row>
    <row r="10">
      <c r="A10" s="1" t="s">
        <v>37</v>
      </c>
      <c r="B10" s="1" t="s">
        <v>38</v>
      </c>
      <c r="C10" s="1" t="s">
        <v>23</v>
      </c>
      <c r="D10" s="1">
        <v>95.0</v>
      </c>
      <c r="E10" s="1">
        <v>130.0</v>
      </c>
      <c r="F10" s="1">
        <v>110.0</v>
      </c>
      <c r="G10" s="1">
        <v>60.0</v>
      </c>
      <c r="H10" s="1">
        <v>90.0</v>
      </c>
      <c r="I10" s="1">
        <v>85.0</v>
      </c>
      <c r="J10" s="2">
        <f t="shared" si="1"/>
        <v>570</v>
      </c>
      <c r="K10" s="1" t="s">
        <v>39</v>
      </c>
    </row>
    <row r="11">
      <c r="A11" s="1" t="s">
        <v>40</v>
      </c>
      <c r="B11" s="1" t="s">
        <v>38</v>
      </c>
      <c r="C11" s="1" t="s">
        <v>41</v>
      </c>
      <c r="D11" s="1">
        <v>150.0</v>
      </c>
      <c r="E11" s="1">
        <v>150.0</v>
      </c>
      <c r="F11" s="1">
        <v>80.0</v>
      </c>
      <c r="G11" s="1">
        <v>30.0</v>
      </c>
      <c r="H11" s="1">
        <v>70.0</v>
      </c>
      <c r="I11" s="1">
        <v>75.0</v>
      </c>
      <c r="J11" s="2">
        <f t="shared" si="1"/>
        <v>555</v>
      </c>
      <c r="K11" s="1" t="s">
        <v>42</v>
      </c>
    </row>
    <row r="12">
      <c r="A12" s="1" t="s">
        <v>43</v>
      </c>
      <c r="B12" s="1" t="s">
        <v>44</v>
      </c>
      <c r="C12" s="1" t="s">
        <v>45</v>
      </c>
      <c r="D12" s="1">
        <v>108.0</v>
      </c>
      <c r="E12" s="1">
        <v>108.0</v>
      </c>
      <c r="F12" s="1">
        <v>108.0</v>
      </c>
      <c r="G12" s="1">
        <v>10.0</v>
      </c>
      <c r="H12" s="1">
        <v>108.0</v>
      </c>
      <c r="I12" s="1">
        <v>108.0</v>
      </c>
      <c r="J12" s="2">
        <f t="shared" si="1"/>
        <v>550</v>
      </c>
    </row>
    <row r="13">
      <c r="A13" s="1" t="s">
        <v>46</v>
      </c>
      <c r="B13" s="1" t="s">
        <v>47</v>
      </c>
      <c r="C13" s="1" t="s">
        <v>48</v>
      </c>
      <c r="D13" s="1">
        <v>75.0</v>
      </c>
      <c r="E13" s="1">
        <v>115.0</v>
      </c>
      <c r="F13" s="1">
        <v>70.0</v>
      </c>
      <c r="G13" s="1">
        <v>100.0</v>
      </c>
      <c r="H13" s="1">
        <v>65.0</v>
      </c>
      <c r="I13" s="1">
        <v>105.0</v>
      </c>
      <c r="J13" s="1">
        <v>530.0</v>
      </c>
      <c r="K13" s="1" t="s">
        <v>49</v>
      </c>
      <c r="L13" s="1" t="s">
        <v>50</v>
      </c>
    </row>
    <row r="14">
      <c r="A14" s="1" t="s">
        <v>51</v>
      </c>
    </row>
    <row r="15">
      <c r="A15" s="1" t="s">
        <v>52</v>
      </c>
      <c r="B15" s="1" t="s">
        <v>53</v>
      </c>
      <c r="C15" s="1" t="s">
        <v>54</v>
      </c>
      <c r="D15" s="1">
        <v>70.0</v>
      </c>
      <c r="E15" s="1">
        <v>120.0</v>
      </c>
      <c r="F15" s="1">
        <v>90.0</v>
      </c>
      <c r="G15" s="1">
        <v>50.0</v>
      </c>
      <c r="H15" s="1">
        <v>70.0</v>
      </c>
      <c r="I15" s="1">
        <v>90.0</v>
      </c>
      <c r="J15" s="2">
        <f t="shared" ref="J15:J17" si="2">SUM(D15:I15)</f>
        <v>490</v>
      </c>
    </row>
    <row r="16">
      <c r="A16" s="1" t="s">
        <v>55</v>
      </c>
      <c r="B16" s="1" t="s">
        <v>56</v>
      </c>
      <c r="C16" s="1" t="s">
        <v>57</v>
      </c>
      <c r="D16" s="1">
        <v>110.0</v>
      </c>
      <c r="E16" s="1">
        <v>60.0</v>
      </c>
      <c r="F16" s="1">
        <v>100.0</v>
      </c>
      <c r="G16" s="1">
        <v>130.0</v>
      </c>
      <c r="H16" s="1">
        <v>100.0</v>
      </c>
      <c r="I16" s="1">
        <v>100.0</v>
      </c>
      <c r="J16" s="2">
        <f t="shared" si="2"/>
        <v>600</v>
      </c>
    </row>
    <row r="17">
      <c r="A17" s="1" t="s">
        <v>58</v>
      </c>
      <c r="B17" s="1" t="s">
        <v>59</v>
      </c>
      <c r="C17" s="1" t="s">
        <v>60</v>
      </c>
      <c r="D17" s="1">
        <v>95.0</v>
      </c>
      <c r="E17" s="1">
        <v>95.0</v>
      </c>
      <c r="F17" s="1">
        <v>95.0</v>
      </c>
      <c r="G17" s="1">
        <v>95.0</v>
      </c>
      <c r="H17" s="1">
        <v>95.0</v>
      </c>
      <c r="I17" s="1">
        <v>95.0</v>
      </c>
      <c r="J17" s="2">
        <f t="shared" si="2"/>
        <v>570</v>
      </c>
    </row>
    <row r="18">
      <c r="A18" s="1" t="s">
        <v>61</v>
      </c>
      <c r="B18" s="1" t="s">
        <v>62</v>
      </c>
      <c r="C18" s="1" t="s">
        <v>63</v>
      </c>
    </row>
    <row r="19">
      <c r="A19" s="1" t="s">
        <v>64</v>
      </c>
    </row>
    <row r="21">
      <c r="L21" s="1" t="s">
        <v>65</v>
      </c>
    </row>
    <row r="22">
      <c r="A22" s="1" t="s">
        <v>66</v>
      </c>
      <c r="B22" s="1" t="s">
        <v>67</v>
      </c>
      <c r="C22" s="1" t="s">
        <v>68</v>
      </c>
      <c r="D22" s="1" t="s">
        <v>69</v>
      </c>
      <c r="E22" s="1" t="s">
        <v>70</v>
      </c>
      <c r="F22" s="1" t="s">
        <v>71</v>
      </c>
      <c r="G22" s="1" t="s">
        <v>72</v>
      </c>
      <c r="H22" s="1" t="s">
        <v>73</v>
      </c>
      <c r="I22" s="1" t="s">
        <v>74</v>
      </c>
      <c r="J22" s="1" t="s">
        <v>17</v>
      </c>
      <c r="K22" s="1" t="s">
        <v>75</v>
      </c>
      <c r="L22" s="1" t="s">
        <v>76</v>
      </c>
      <c r="M22" s="1" t="s">
        <v>77</v>
      </c>
      <c r="N22" s="1" t="s">
        <v>78</v>
      </c>
      <c r="O22" s="1" t="s">
        <v>79</v>
      </c>
      <c r="P22" s="1" t="s">
        <v>80</v>
      </c>
      <c r="Q22" s="1" t="s">
        <v>81</v>
      </c>
      <c r="R22" s="1" t="s">
        <v>82</v>
      </c>
      <c r="S22" s="1" t="s">
        <v>83</v>
      </c>
      <c r="T22" s="1" t="s">
        <v>84</v>
      </c>
      <c r="U22" s="1" t="s">
        <v>85</v>
      </c>
      <c r="V22" s="1" t="s">
        <v>86</v>
      </c>
      <c r="W22" s="1" t="s">
        <v>87</v>
      </c>
    </row>
    <row r="23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47</v>
      </c>
      <c r="G23" s="1" t="s">
        <v>93</v>
      </c>
      <c r="H23" s="1" t="s">
        <v>93</v>
      </c>
      <c r="I23" s="1" t="s">
        <v>94</v>
      </c>
      <c r="J23" s="1" t="s">
        <v>18</v>
      </c>
      <c r="K23" s="1" t="s">
        <v>95</v>
      </c>
      <c r="L23" s="1" t="s">
        <v>96</v>
      </c>
      <c r="M23" s="1" t="s">
        <v>97</v>
      </c>
      <c r="N23" s="1" t="s">
        <v>98</v>
      </c>
      <c r="O23" s="1" t="s">
        <v>99</v>
      </c>
      <c r="P23" s="1" t="s">
        <v>100</v>
      </c>
      <c r="Q23" s="1" t="s">
        <v>101</v>
      </c>
      <c r="R23" s="1" t="s">
        <v>102</v>
      </c>
      <c r="S23" s="1" t="s">
        <v>103</v>
      </c>
      <c r="T23" s="1" t="s">
        <v>104</v>
      </c>
      <c r="U23" s="1" t="s">
        <v>105</v>
      </c>
      <c r="V23" s="1" t="s">
        <v>106</v>
      </c>
      <c r="W23" s="1" t="s">
        <v>107</v>
      </c>
    </row>
    <row r="24">
      <c r="A24" s="1" t="s">
        <v>2</v>
      </c>
      <c r="B24" s="1" t="s">
        <v>108</v>
      </c>
      <c r="C24" s="1" t="s">
        <v>109</v>
      </c>
      <c r="D24" s="1" t="s">
        <v>110</v>
      </c>
      <c r="E24" s="1" t="s">
        <v>111</v>
      </c>
      <c r="F24" s="1" t="s">
        <v>112</v>
      </c>
      <c r="J24" s="1" t="s">
        <v>19</v>
      </c>
      <c r="K24" s="1" t="s">
        <v>113</v>
      </c>
      <c r="L24" s="1" t="s">
        <v>114</v>
      </c>
      <c r="M24" s="1" t="s">
        <v>115</v>
      </c>
      <c r="N24" s="1" t="s">
        <v>116</v>
      </c>
      <c r="O24" s="1" t="s">
        <v>117</v>
      </c>
      <c r="P24" s="1" t="s">
        <v>118</v>
      </c>
      <c r="Q24" s="1" t="s">
        <v>119</v>
      </c>
      <c r="R24" s="1" t="s">
        <v>120</v>
      </c>
      <c r="S24" s="1" t="s">
        <v>121</v>
      </c>
      <c r="T24" s="1" t="s">
        <v>122</v>
      </c>
      <c r="U24" s="1" t="s">
        <v>123</v>
      </c>
      <c r="V24" s="1" t="s">
        <v>124</v>
      </c>
      <c r="W24" s="1" t="s">
        <v>125</v>
      </c>
    </row>
    <row r="25">
      <c r="A25" s="1" t="s">
        <v>3</v>
      </c>
      <c r="B25" s="4">
        <v>100.0</v>
      </c>
      <c r="C25" s="4">
        <v>150.0</v>
      </c>
      <c r="D25" s="4">
        <v>71.0</v>
      </c>
      <c r="E25" s="4">
        <v>80.0</v>
      </c>
      <c r="F25" s="4">
        <v>90.0</v>
      </c>
      <c r="G25" s="4">
        <v>80.0</v>
      </c>
      <c r="H25" s="4">
        <v>55.0</v>
      </c>
      <c r="I25" s="4">
        <v>96.0</v>
      </c>
      <c r="J25" s="4">
        <v>80.0</v>
      </c>
      <c r="K25" s="4">
        <v>105.0</v>
      </c>
      <c r="L25" s="4">
        <v>70.0</v>
      </c>
      <c r="M25" s="4">
        <v>90.0</v>
      </c>
      <c r="N25" s="4">
        <v>80.0</v>
      </c>
      <c r="O25" s="4">
        <v>100.0</v>
      </c>
      <c r="P25" s="4">
        <v>90.0</v>
      </c>
      <c r="Q25" s="4">
        <v>85.0</v>
      </c>
      <c r="R25" s="4">
        <v>100.0</v>
      </c>
      <c r="S25" s="4">
        <v>95.0</v>
      </c>
      <c r="T25" s="4">
        <v>85.0</v>
      </c>
      <c r="U25" s="4">
        <v>95.0</v>
      </c>
      <c r="V25" s="4">
        <v>80.0</v>
      </c>
      <c r="W25" s="4">
        <v>80.0</v>
      </c>
    </row>
    <row r="26">
      <c r="A26" s="1" t="s">
        <v>4</v>
      </c>
      <c r="B26" s="4">
        <v>20.0</v>
      </c>
      <c r="C26" s="4">
        <v>150.0</v>
      </c>
      <c r="D26" s="4">
        <v>91.0</v>
      </c>
      <c r="E26" s="4">
        <v>50.0</v>
      </c>
      <c r="F26" s="4">
        <v>65.0</v>
      </c>
      <c r="G26" s="4">
        <v>65.0</v>
      </c>
      <c r="H26" s="4">
        <v>50.0</v>
      </c>
      <c r="I26" s="4">
        <v>87.0</v>
      </c>
      <c r="J26" s="4">
        <v>120.0</v>
      </c>
      <c r="K26" s="4">
        <v>115.0</v>
      </c>
      <c r="L26" s="4">
        <v>120.0</v>
      </c>
      <c r="M26" s="4">
        <v>65.0</v>
      </c>
      <c r="N26" s="4">
        <v>55.0</v>
      </c>
      <c r="O26" s="4">
        <v>65.0</v>
      </c>
      <c r="P26" s="4">
        <v>115.0</v>
      </c>
      <c r="Q26" s="4">
        <v>115.0</v>
      </c>
      <c r="R26" s="4">
        <v>100.0</v>
      </c>
      <c r="S26" s="4">
        <v>135.0</v>
      </c>
      <c r="T26" s="4">
        <v>70.0</v>
      </c>
      <c r="U26" s="4">
        <v>120.0</v>
      </c>
      <c r="V26" s="4">
        <v>115.0</v>
      </c>
      <c r="W26" s="4">
        <v>100.0</v>
      </c>
    </row>
    <row r="27">
      <c r="A27" s="1" t="s">
        <v>5</v>
      </c>
      <c r="B27" s="4">
        <v>20.0</v>
      </c>
      <c r="C27" s="4">
        <v>50.0</v>
      </c>
      <c r="D27" s="4">
        <v>92.0</v>
      </c>
      <c r="E27" s="4">
        <v>200.0</v>
      </c>
      <c r="F27" s="4">
        <v>70.0</v>
      </c>
      <c r="G27" s="4">
        <v>80.0</v>
      </c>
      <c r="H27" s="4">
        <v>50.0</v>
      </c>
      <c r="I27" s="4">
        <v>87.0</v>
      </c>
      <c r="J27" s="4">
        <v>110.0</v>
      </c>
      <c r="K27" s="4">
        <v>75.0</v>
      </c>
      <c r="L27" s="4">
        <v>120.0</v>
      </c>
      <c r="M27" s="4">
        <v>75.0</v>
      </c>
      <c r="N27" s="4">
        <v>70.0</v>
      </c>
      <c r="O27" s="4">
        <v>90.0</v>
      </c>
      <c r="P27" s="4">
        <v>110.0</v>
      </c>
      <c r="Q27" s="4">
        <v>100.0</v>
      </c>
      <c r="R27" s="4">
        <v>110.0</v>
      </c>
      <c r="S27" s="4">
        <v>115.0</v>
      </c>
      <c r="T27" s="4">
        <v>95.0</v>
      </c>
      <c r="U27" s="4">
        <v>110.0</v>
      </c>
      <c r="V27" s="4">
        <v>100.0</v>
      </c>
      <c r="W27" s="4">
        <v>70.0</v>
      </c>
    </row>
    <row r="28">
      <c r="A28" s="1" t="s">
        <v>6</v>
      </c>
      <c r="B28" s="4">
        <v>20.0</v>
      </c>
      <c r="C28" s="4">
        <v>50.0</v>
      </c>
      <c r="D28" s="4">
        <v>111.0</v>
      </c>
      <c r="E28" s="4">
        <v>50.0</v>
      </c>
      <c r="F28" s="4">
        <v>130.0</v>
      </c>
      <c r="G28" s="4">
        <v>92.0</v>
      </c>
      <c r="H28" s="4">
        <v>130.0</v>
      </c>
      <c r="I28" s="4">
        <v>87.0</v>
      </c>
      <c r="J28" s="4">
        <v>45.0</v>
      </c>
      <c r="K28" s="4">
        <v>75.0</v>
      </c>
      <c r="L28" s="4">
        <v>40.0</v>
      </c>
      <c r="M28" s="4">
        <v>100.0</v>
      </c>
      <c r="N28" s="4">
        <v>130.0</v>
      </c>
      <c r="O28" s="4">
        <v>120.0</v>
      </c>
      <c r="P28" s="4">
        <v>60.0</v>
      </c>
      <c r="Q28" s="4">
        <v>90.0</v>
      </c>
      <c r="R28" s="4">
        <v>60.0</v>
      </c>
      <c r="S28" s="4">
        <v>50.0</v>
      </c>
      <c r="T28" s="4">
        <v>115.0</v>
      </c>
      <c r="U28" s="4">
        <v>85.0</v>
      </c>
      <c r="V28" s="4">
        <v>60.0</v>
      </c>
      <c r="W28" s="4">
        <v>60.0</v>
      </c>
    </row>
    <row r="29">
      <c r="A29" s="1" t="s">
        <v>7</v>
      </c>
      <c r="B29" s="4">
        <v>20.0</v>
      </c>
      <c r="C29" s="4">
        <v>50.0</v>
      </c>
      <c r="D29" s="4">
        <v>91.0</v>
      </c>
      <c r="E29" s="4">
        <v>200.0</v>
      </c>
      <c r="F29" s="4">
        <v>95.0</v>
      </c>
      <c r="G29" s="4">
        <v>65.0</v>
      </c>
      <c r="H29" s="4">
        <v>115.0</v>
      </c>
      <c r="I29" s="4">
        <v>87.0</v>
      </c>
      <c r="J29" s="4">
        <v>80.0</v>
      </c>
      <c r="K29" s="4">
        <v>100.0</v>
      </c>
      <c r="L29" s="4">
        <v>70.0</v>
      </c>
      <c r="M29" s="4">
        <v>100.0</v>
      </c>
      <c r="N29" s="4">
        <v>100.0</v>
      </c>
      <c r="O29" s="4">
        <v>110.0</v>
      </c>
      <c r="P29" s="4">
        <v>90.0</v>
      </c>
      <c r="Q29" s="4">
        <v>110.0</v>
      </c>
      <c r="R29" s="4">
        <v>110.0</v>
      </c>
      <c r="S29" s="4">
        <v>95.0</v>
      </c>
      <c r="T29" s="4">
        <v>100.0</v>
      </c>
      <c r="U29" s="4">
        <v>100.0</v>
      </c>
      <c r="V29" s="4">
        <v>90.0</v>
      </c>
      <c r="W29" s="4">
        <v>70.0</v>
      </c>
    </row>
    <row r="30">
      <c r="A30" s="1" t="s">
        <v>8</v>
      </c>
      <c r="B30" s="4">
        <v>20.0</v>
      </c>
      <c r="C30" s="4">
        <v>150.0</v>
      </c>
      <c r="D30" s="4">
        <v>99.0</v>
      </c>
      <c r="E30" s="4">
        <v>20.0</v>
      </c>
      <c r="F30" s="4">
        <v>110.0</v>
      </c>
      <c r="G30" s="4">
        <v>68.0</v>
      </c>
      <c r="H30" s="4">
        <v>75.0</v>
      </c>
      <c r="I30" s="4">
        <v>96.0</v>
      </c>
      <c r="J30" s="4">
        <v>95.0</v>
      </c>
      <c r="K30" s="4">
        <v>100.0</v>
      </c>
      <c r="L30" s="4">
        <v>80.0</v>
      </c>
      <c r="M30" s="4">
        <v>90.0</v>
      </c>
      <c r="N30" s="4">
        <v>110.0</v>
      </c>
      <c r="O30" s="4">
        <v>80.0</v>
      </c>
      <c r="P30" s="4">
        <v>115.0</v>
      </c>
      <c r="Q30" s="4">
        <v>100.0</v>
      </c>
      <c r="R30" s="4">
        <v>65.0</v>
      </c>
      <c r="S30" s="4">
        <v>75.0</v>
      </c>
      <c r="T30" s="4">
        <v>115.0</v>
      </c>
      <c r="U30" s="4">
        <v>90.0</v>
      </c>
      <c r="V30" s="4">
        <v>85.0</v>
      </c>
      <c r="W30" s="4">
        <v>120.0</v>
      </c>
    </row>
    <row r="31">
      <c r="A31" s="1" t="s">
        <v>9</v>
      </c>
      <c r="B31" s="5">
        <f t="shared" ref="B31:W31" si="3">sum(B25:B30)</f>
        <v>200</v>
      </c>
      <c r="C31" s="5">
        <f t="shared" si="3"/>
        <v>600</v>
      </c>
      <c r="D31" s="5">
        <f t="shared" si="3"/>
        <v>555</v>
      </c>
      <c r="E31" s="5">
        <f t="shared" si="3"/>
        <v>600</v>
      </c>
      <c r="F31" s="5">
        <f t="shared" si="3"/>
        <v>560</v>
      </c>
      <c r="G31" s="5">
        <f t="shared" si="3"/>
        <v>450</v>
      </c>
      <c r="H31" s="5">
        <f t="shared" si="3"/>
        <v>475</v>
      </c>
      <c r="I31" s="5">
        <f t="shared" si="3"/>
        <v>540</v>
      </c>
      <c r="J31" s="5">
        <f t="shared" si="3"/>
        <v>530</v>
      </c>
      <c r="K31" s="5">
        <f t="shared" si="3"/>
        <v>570</v>
      </c>
      <c r="L31" s="5">
        <f t="shared" si="3"/>
        <v>500</v>
      </c>
      <c r="M31" s="5">
        <f t="shared" si="3"/>
        <v>520</v>
      </c>
      <c r="N31" s="5">
        <f t="shared" si="3"/>
        <v>545</v>
      </c>
      <c r="O31" s="5">
        <f t="shared" si="3"/>
        <v>565</v>
      </c>
      <c r="P31" s="5">
        <f t="shared" si="3"/>
        <v>580</v>
      </c>
      <c r="Q31" s="5">
        <f t="shared" si="3"/>
        <v>600</v>
      </c>
      <c r="R31" s="5">
        <f t="shared" si="3"/>
        <v>545</v>
      </c>
      <c r="S31" s="5">
        <f t="shared" si="3"/>
        <v>565</v>
      </c>
      <c r="T31" s="5">
        <f t="shared" si="3"/>
        <v>580</v>
      </c>
      <c r="U31" s="5">
        <f t="shared" si="3"/>
        <v>600</v>
      </c>
      <c r="V31" s="5">
        <f t="shared" si="3"/>
        <v>530</v>
      </c>
      <c r="W31" s="5">
        <f t="shared" si="3"/>
        <v>500</v>
      </c>
    </row>
    <row r="32">
      <c r="A32" s="1" t="s">
        <v>126</v>
      </c>
      <c r="B32" s="1" t="s">
        <v>127</v>
      </c>
      <c r="C32" s="1" t="s">
        <v>128</v>
      </c>
      <c r="D32" s="1" t="s">
        <v>129</v>
      </c>
      <c r="E32" s="1" t="s">
        <v>130</v>
      </c>
      <c r="F32" s="1" t="s">
        <v>131</v>
      </c>
      <c r="J32" s="1" t="s">
        <v>132</v>
      </c>
      <c r="K32" s="1" t="s">
        <v>133</v>
      </c>
      <c r="L32" s="1" t="s">
        <v>134</v>
      </c>
      <c r="N32" s="1" t="s">
        <v>135</v>
      </c>
      <c r="P32" s="1" t="s">
        <v>136</v>
      </c>
      <c r="Q32" s="1" t="s">
        <v>137</v>
      </c>
      <c r="R32" s="1" t="s">
        <v>138</v>
      </c>
      <c r="S32" s="1" t="s">
        <v>139</v>
      </c>
      <c r="T32" s="1" t="s">
        <v>140</v>
      </c>
      <c r="U32" s="1" t="s">
        <v>141</v>
      </c>
      <c r="V32" s="1" t="s">
        <v>142</v>
      </c>
      <c r="W32" s="1" t="s">
        <v>143</v>
      </c>
    </row>
    <row r="33">
      <c r="A33" s="1" t="s">
        <v>144</v>
      </c>
      <c r="B33" s="1" t="s">
        <v>145</v>
      </c>
      <c r="C33" s="1" t="s">
        <v>146</v>
      </c>
      <c r="D33" s="1" t="s">
        <v>147</v>
      </c>
      <c r="E33" s="1" t="s">
        <v>148</v>
      </c>
      <c r="F33" s="1" t="s">
        <v>149</v>
      </c>
      <c r="J33" s="1" t="s">
        <v>150</v>
      </c>
      <c r="K33" s="1" t="s">
        <v>151</v>
      </c>
    </row>
    <row r="34">
      <c r="A34" s="1" t="s">
        <v>152</v>
      </c>
      <c r="B34" s="1" t="s">
        <v>153</v>
      </c>
      <c r="C34" s="1" t="s">
        <v>154</v>
      </c>
      <c r="D34" s="1" t="s">
        <v>155</v>
      </c>
      <c r="E34" s="1" t="s">
        <v>156</v>
      </c>
      <c r="F34" s="1" t="s">
        <v>157</v>
      </c>
      <c r="J34" s="1" t="s">
        <v>158</v>
      </c>
      <c r="K34" s="1" t="s">
        <v>159</v>
      </c>
    </row>
    <row r="35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164</v>
      </c>
      <c r="F35" s="1" t="s">
        <v>165</v>
      </c>
      <c r="J35" s="1" t="s">
        <v>166</v>
      </c>
      <c r="K35" s="1" t="s">
        <v>167</v>
      </c>
      <c r="L35" s="1" t="s">
        <v>168</v>
      </c>
    </row>
    <row r="38">
      <c r="A38" s="1" t="s">
        <v>169</v>
      </c>
      <c r="B38" s="1" t="s">
        <v>170</v>
      </c>
      <c r="C38" s="1" t="s">
        <v>171</v>
      </c>
      <c r="D38" s="1" t="s">
        <v>172</v>
      </c>
      <c r="E38" s="1" t="s">
        <v>173</v>
      </c>
      <c r="F38" s="1" t="s">
        <v>174</v>
      </c>
      <c r="G38" s="1" t="s">
        <v>175</v>
      </c>
      <c r="L38" s="1" t="s">
        <v>59</v>
      </c>
    </row>
    <row r="39">
      <c r="A39" s="1" t="s">
        <v>66</v>
      </c>
      <c r="B39" s="1" t="s">
        <v>68</v>
      </c>
      <c r="C39" s="1" t="s">
        <v>176</v>
      </c>
      <c r="D39" s="1" t="s">
        <v>71</v>
      </c>
      <c r="E39" s="1" t="s">
        <v>177</v>
      </c>
      <c r="F39" s="1" t="s">
        <v>178</v>
      </c>
      <c r="G39" s="1" t="s">
        <v>67</v>
      </c>
      <c r="H39" s="1" t="s">
        <v>179</v>
      </c>
      <c r="I39" s="1" t="s">
        <v>180</v>
      </c>
      <c r="L39" s="1" t="s">
        <v>181</v>
      </c>
    </row>
    <row r="40">
      <c r="A40" s="1" t="s">
        <v>88</v>
      </c>
      <c r="B40" s="1" t="s">
        <v>90</v>
      </c>
      <c r="C40" s="1" t="s">
        <v>182</v>
      </c>
      <c r="D40" s="1" t="s">
        <v>47</v>
      </c>
      <c r="E40" s="1" t="s">
        <v>183</v>
      </c>
      <c r="F40" s="1" t="s">
        <v>184</v>
      </c>
      <c r="G40" s="1" t="s">
        <v>89</v>
      </c>
      <c r="H40" s="1" t="s">
        <v>185</v>
      </c>
      <c r="I40" s="1" t="s">
        <v>186</v>
      </c>
    </row>
    <row r="41">
      <c r="A41" s="1" t="s">
        <v>2</v>
      </c>
      <c r="B41" s="1" t="s">
        <v>109</v>
      </c>
      <c r="C41" s="1" t="s">
        <v>187</v>
      </c>
      <c r="D41" s="1" t="s">
        <v>112</v>
      </c>
      <c r="E41" s="1" t="s">
        <v>188</v>
      </c>
      <c r="F41" s="1" t="s">
        <v>189</v>
      </c>
      <c r="G41" s="1" t="s">
        <v>108</v>
      </c>
      <c r="H41" s="1" t="s">
        <v>190</v>
      </c>
      <c r="I41" s="1" t="s">
        <v>191</v>
      </c>
    </row>
    <row r="42">
      <c r="A42" s="1" t="s">
        <v>3</v>
      </c>
      <c r="B42" s="4">
        <v>150.0</v>
      </c>
      <c r="C42" s="4">
        <v>75.0</v>
      </c>
      <c r="D42" s="4">
        <v>90.0</v>
      </c>
      <c r="E42" s="4">
        <v>100.0</v>
      </c>
      <c r="F42" s="4">
        <v>80.0</v>
      </c>
      <c r="G42" s="4">
        <v>100.0</v>
      </c>
      <c r="H42" s="4">
        <v>95.0</v>
      </c>
      <c r="I42" s="4">
        <v>80.0</v>
      </c>
    </row>
    <row r="43">
      <c r="A43" s="1" t="s">
        <v>4</v>
      </c>
      <c r="B43" s="4">
        <v>150.0</v>
      </c>
      <c r="C43" s="4">
        <v>125.0</v>
      </c>
      <c r="D43" s="4">
        <v>65.0</v>
      </c>
      <c r="E43" s="4">
        <v>95.0</v>
      </c>
      <c r="F43" s="4">
        <v>90.0</v>
      </c>
      <c r="G43" s="4">
        <v>50.0</v>
      </c>
      <c r="H43" s="4">
        <v>135.0</v>
      </c>
      <c r="I43" s="4">
        <v>60.0</v>
      </c>
    </row>
    <row r="44">
      <c r="A44" s="1" t="s">
        <v>5</v>
      </c>
      <c r="B44" s="4">
        <v>50.0</v>
      </c>
      <c r="C44" s="4">
        <v>60.0</v>
      </c>
      <c r="D44" s="4">
        <v>70.0</v>
      </c>
      <c r="E44" s="4">
        <v>90.0</v>
      </c>
      <c r="F44" s="4">
        <v>90.0</v>
      </c>
      <c r="G44" s="4">
        <v>50.0</v>
      </c>
      <c r="H44" s="4">
        <v>180.0</v>
      </c>
      <c r="I44" s="4">
        <v>90.0</v>
      </c>
    </row>
    <row r="45">
      <c r="A45" s="1" t="s">
        <v>6</v>
      </c>
      <c r="B45" s="4">
        <v>50.0</v>
      </c>
      <c r="C45" s="4">
        <v>70.0</v>
      </c>
      <c r="D45" s="4">
        <v>130.0</v>
      </c>
      <c r="E45" s="4">
        <v>100.0</v>
      </c>
      <c r="F45" s="4">
        <v>90.0</v>
      </c>
      <c r="G45" s="4">
        <v>50.0</v>
      </c>
      <c r="H45" s="4">
        <v>50.0</v>
      </c>
      <c r="I45" s="4">
        <v>120.0</v>
      </c>
    </row>
    <row r="46">
      <c r="A46" s="1" t="s">
        <v>7</v>
      </c>
      <c r="B46" s="4">
        <v>50.0</v>
      </c>
      <c r="C46" s="4">
        <v>125.0</v>
      </c>
      <c r="D46" s="4">
        <v>95.0</v>
      </c>
      <c r="E46" s="4">
        <v>85.0</v>
      </c>
      <c r="F46" s="4">
        <v>90.0</v>
      </c>
      <c r="G46" s="4">
        <v>50.0</v>
      </c>
      <c r="H46" s="4">
        <v>60.0</v>
      </c>
      <c r="I46" s="4">
        <v>110.0</v>
      </c>
    </row>
    <row r="47">
      <c r="A47" s="1" t="s">
        <v>8</v>
      </c>
      <c r="B47" s="4">
        <v>150.0</v>
      </c>
      <c r="C47" s="4">
        <v>125.0</v>
      </c>
      <c r="D47" s="4">
        <v>110.0</v>
      </c>
      <c r="E47" s="4">
        <v>80.0</v>
      </c>
      <c r="F47" s="4">
        <v>90.0</v>
      </c>
      <c r="G47" s="4">
        <v>50.0</v>
      </c>
      <c r="H47" s="4">
        <v>60.0</v>
      </c>
      <c r="I47" s="4">
        <v>90.0</v>
      </c>
    </row>
    <row r="48">
      <c r="A48" s="1" t="s">
        <v>9</v>
      </c>
      <c r="B48" s="5">
        <f t="shared" ref="B48:H48" si="4">sum(B42:B47)</f>
        <v>600</v>
      </c>
      <c r="C48" s="5">
        <f t="shared" si="4"/>
        <v>580</v>
      </c>
      <c r="D48" s="5">
        <f t="shared" si="4"/>
        <v>560</v>
      </c>
      <c r="E48" s="5">
        <f t="shared" si="4"/>
        <v>550</v>
      </c>
      <c r="F48" s="5">
        <f t="shared" si="4"/>
        <v>530</v>
      </c>
      <c r="G48" s="5">
        <f t="shared" si="4"/>
        <v>350</v>
      </c>
      <c r="H48" s="5">
        <f t="shared" si="4"/>
        <v>580</v>
      </c>
      <c r="I48" s="4">
        <v>550.0</v>
      </c>
    </row>
    <row r="49">
      <c r="A49" s="1" t="s">
        <v>192</v>
      </c>
      <c r="B49" s="1" t="s">
        <v>162</v>
      </c>
      <c r="C49" s="1" t="s">
        <v>193</v>
      </c>
      <c r="D49" s="1" t="s">
        <v>131</v>
      </c>
      <c r="E49" s="1" t="s">
        <v>194</v>
      </c>
      <c r="F49" s="1" t="s">
        <v>195</v>
      </c>
      <c r="G49" s="1" t="s">
        <v>196</v>
      </c>
      <c r="H49" s="1" t="s">
        <v>197</v>
      </c>
      <c r="I49" s="1" t="s">
        <v>198</v>
      </c>
    </row>
    <row r="50">
      <c r="A50" s="1" t="s">
        <v>144</v>
      </c>
      <c r="B50" s="1" t="s">
        <v>146</v>
      </c>
      <c r="C50" s="1" t="s">
        <v>199</v>
      </c>
      <c r="D50" s="1" t="s">
        <v>149</v>
      </c>
      <c r="E50" s="1" t="s">
        <v>127</v>
      </c>
      <c r="F50" s="1" t="s">
        <v>200</v>
      </c>
      <c r="G50" s="1" t="s">
        <v>145</v>
      </c>
      <c r="H50" s="1" t="s">
        <v>201</v>
      </c>
      <c r="I50" s="1" t="s">
        <v>202</v>
      </c>
    </row>
    <row r="51">
      <c r="A51" s="1" t="s">
        <v>152</v>
      </c>
      <c r="B51" s="1" t="s">
        <v>154</v>
      </c>
      <c r="C51" s="1" t="s">
        <v>203</v>
      </c>
      <c r="D51" s="1" t="s">
        <v>157</v>
      </c>
      <c r="E51" s="1" t="s">
        <v>204</v>
      </c>
      <c r="F51" s="1" t="s">
        <v>205</v>
      </c>
      <c r="G51" s="1" t="s">
        <v>153</v>
      </c>
      <c r="H51" s="1" t="s">
        <v>206</v>
      </c>
      <c r="I51" s="1" t="s">
        <v>26</v>
      </c>
    </row>
    <row r="52">
      <c r="A52" s="1" t="s">
        <v>160</v>
      </c>
      <c r="B52" s="1" t="s">
        <v>128</v>
      </c>
      <c r="C52" s="1" t="s">
        <v>207</v>
      </c>
      <c r="E52" s="1" t="s">
        <v>208</v>
      </c>
      <c r="F52" s="1" t="s">
        <v>209</v>
      </c>
      <c r="G52" s="1" t="s">
        <v>161</v>
      </c>
      <c r="H52" s="1" t="s">
        <v>210</v>
      </c>
      <c r="I52" s="1" t="s">
        <v>211</v>
      </c>
    </row>
    <row r="53">
      <c r="A53" s="1" t="s">
        <v>212</v>
      </c>
      <c r="B53" s="1" t="s">
        <v>213</v>
      </c>
      <c r="C53" s="1" t="s">
        <v>214</v>
      </c>
    </row>
    <row r="55">
      <c r="A55" s="1" t="s">
        <v>215</v>
      </c>
      <c r="B55" s="1" t="s">
        <v>216</v>
      </c>
      <c r="C55" s="1" t="s">
        <v>217</v>
      </c>
      <c r="D55" s="1" t="s">
        <v>218</v>
      </c>
      <c r="E55" s="1" t="s">
        <v>219</v>
      </c>
      <c r="F55" s="1" t="s">
        <v>220</v>
      </c>
      <c r="G55" s="1" t="s">
        <v>221</v>
      </c>
      <c r="H55" s="1" t="s">
        <v>222</v>
      </c>
      <c r="I55" s="1" t="s">
        <v>223</v>
      </c>
      <c r="J55" s="1" t="s">
        <v>224</v>
      </c>
      <c r="K55" s="1" t="s">
        <v>225</v>
      </c>
      <c r="L55" s="1" t="s">
        <v>226</v>
      </c>
      <c r="M55" s="6" t="s">
        <v>227</v>
      </c>
    </row>
    <row r="56">
      <c r="A56" s="1" t="s">
        <v>66</v>
      </c>
    </row>
    <row r="57">
      <c r="A57" s="1" t="s">
        <v>88</v>
      </c>
    </row>
    <row r="58">
      <c r="A58" s="1" t="s">
        <v>2</v>
      </c>
    </row>
    <row r="59">
      <c r="A59" s="1" t="s">
        <v>3</v>
      </c>
    </row>
    <row r="60">
      <c r="A60" s="1" t="s">
        <v>4</v>
      </c>
    </row>
    <row r="61">
      <c r="A61" s="1" t="s">
        <v>5</v>
      </c>
    </row>
    <row r="62">
      <c r="A62" s="1" t="s">
        <v>6</v>
      </c>
    </row>
    <row r="63">
      <c r="A63" s="1" t="s">
        <v>7</v>
      </c>
    </row>
    <row r="64">
      <c r="A64" s="1" t="s">
        <v>8</v>
      </c>
    </row>
    <row r="65">
      <c r="A65" s="1" t="s">
        <v>9</v>
      </c>
    </row>
    <row r="66">
      <c r="A66" s="1" t="s">
        <v>126</v>
      </c>
    </row>
    <row r="67">
      <c r="A67" s="1" t="s">
        <v>144</v>
      </c>
    </row>
    <row r="68">
      <c r="A68" s="1" t="s">
        <v>152</v>
      </c>
    </row>
    <row r="69">
      <c r="A69" s="1" t="s">
        <v>160</v>
      </c>
    </row>
    <row r="70">
      <c r="B70" s="1" t="s">
        <v>228</v>
      </c>
      <c r="C70" s="1" t="s">
        <v>229</v>
      </c>
    </row>
    <row r="71">
      <c r="A71" s="1" t="s">
        <v>230</v>
      </c>
      <c r="B71" s="1" t="s">
        <v>231</v>
      </c>
      <c r="C71" s="1" t="s">
        <v>232</v>
      </c>
    </row>
    <row r="72">
      <c r="A72" s="1" t="s">
        <v>66</v>
      </c>
      <c r="B72" s="1" t="s">
        <v>233</v>
      </c>
      <c r="C72" s="1" t="s">
        <v>234</v>
      </c>
    </row>
    <row r="73">
      <c r="A73" s="1" t="s">
        <v>88</v>
      </c>
      <c r="B73" s="1" t="s">
        <v>235</v>
      </c>
      <c r="C73" s="1" t="s">
        <v>236</v>
      </c>
    </row>
    <row r="74">
      <c r="A74" s="1" t="s">
        <v>2</v>
      </c>
      <c r="B74" s="1" t="s">
        <v>237</v>
      </c>
      <c r="C74" s="1" t="s">
        <v>238</v>
      </c>
    </row>
    <row r="75">
      <c r="A75" s="1" t="s">
        <v>3</v>
      </c>
      <c r="B75" s="4">
        <v>255.0</v>
      </c>
      <c r="C75" s="4">
        <v>255.0</v>
      </c>
    </row>
    <row r="76">
      <c r="A76" s="1" t="s">
        <v>4</v>
      </c>
      <c r="B76" s="4">
        <v>150.0</v>
      </c>
      <c r="C76" s="4">
        <v>255.0</v>
      </c>
    </row>
    <row r="77">
      <c r="A77" s="1" t="s">
        <v>5</v>
      </c>
      <c r="B77" s="4">
        <v>150.0</v>
      </c>
      <c r="C77" s="4">
        <v>255.0</v>
      </c>
    </row>
    <row r="78">
      <c r="A78" s="1" t="s">
        <v>6</v>
      </c>
      <c r="B78" s="4">
        <v>150.0</v>
      </c>
      <c r="C78" s="4">
        <v>255.0</v>
      </c>
    </row>
    <row r="79">
      <c r="A79" s="1" t="s">
        <v>7</v>
      </c>
      <c r="B79" s="4">
        <v>150.0</v>
      </c>
      <c r="C79" s="4">
        <v>255.0</v>
      </c>
    </row>
    <row r="80">
      <c r="A80" s="1" t="s">
        <v>8</v>
      </c>
      <c r="B80" s="4">
        <v>200.0</v>
      </c>
      <c r="C80" s="4">
        <v>255.0</v>
      </c>
    </row>
    <row r="81">
      <c r="A81" s="1" t="s">
        <v>9</v>
      </c>
      <c r="B81" s="5">
        <f t="shared" ref="B81:C81" si="5">sum(B75:B80)</f>
        <v>1055</v>
      </c>
      <c r="C81" s="5">
        <f t="shared" si="5"/>
        <v>1530</v>
      </c>
    </row>
    <row r="82">
      <c r="A82" s="1" t="s">
        <v>126</v>
      </c>
      <c r="B82" s="1" t="s">
        <v>239</v>
      </c>
      <c r="C82" s="1" t="s">
        <v>154</v>
      </c>
    </row>
    <row r="83">
      <c r="A83" s="1" t="s">
        <v>144</v>
      </c>
      <c r="B83" s="1" t="s">
        <v>240</v>
      </c>
      <c r="C83" s="1" t="s">
        <v>241</v>
      </c>
    </row>
    <row r="84">
      <c r="A84" s="1" t="s">
        <v>152</v>
      </c>
      <c r="B84" s="1" t="s">
        <v>242</v>
      </c>
      <c r="C84" s="1" t="s">
        <v>243</v>
      </c>
    </row>
    <row r="85">
      <c r="A85" s="1" t="s">
        <v>160</v>
      </c>
      <c r="B85" s="1" t="s">
        <v>244</v>
      </c>
      <c r="C85" s="1" t="s">
        <v>209</v>
      </c>
    </row>
    <row r="88">
      <c r="A88" s="1" t="s">
        <v>245</v>
      </c>
    </row>
    <row r="89">
      <c r="A89" s="7" t="s">
        <v>246</v>
      </c>
    </row>
    <row r="90">
      <c r="A90" s="7" t="s">
        <v>247</v>
      </c>
    </row>
    <row r="91">
      <c r="A91" s="7" t="s">
        <v>248</v>
      </c>
    </row>
    <row r="92">
      <c r="A92" s="7" t="s">
        <v>249</v>
      </c>
    </row>
    <row r="93">
      <c r="A93" s="7" t="s">
        <v>250</v>
      </c>
    </row>
    <row r="94">
      <c r="A94" s="7" t="s">
        <v>251</v>
      </c>
    </row>
  </sheetData>
  <hyperlinks>
    <hyperlink r:id="rId1" ref="M55"/>
  </hyperlinks>
  <drawing r:id="rId2"/>
</worksheet>
</file>