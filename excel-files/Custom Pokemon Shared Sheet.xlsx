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<sst xmlns="http://schemas.openxmlformats.org/spreadsheetml/2006/main" count="242" uniqueCount="193">
  <si>
    <t>Color Key</t>
  </si>
  <si>
    <t>Green = this pokemon is entered into the pokedex and formats.ts</t>
  </si>
  <si>
    <t>Yellow = This cell's contents still need to be coded and put into their respective files</t>
  </si>
  <si>
    <t>Bold = Work on these first as they are most likely the final team</t>
  </si>
  <si>
    <t>Code created, need to test</t>
  </si>
  <si>
    <t>Jordan's Custom Pokemon</t>
  </si>
  <si>
    <t>Name</t>
  </si>
  <si>
    <t>Klumph</t>
  </si>
  <si>
    <t>Grawshawg</t>
  </si>
  <si>
    <t>Nucleode</t>
  </si>
  <si>
    <t>Cloudstrike</t>
  </si>
  <si>
    <t>Frostallion</t>
  </si>
  <si>
    <t>Arachniss</t>
  </si>
  <si>
    <t>Hexameleon</t>
  </si>
  <si>
    <t>Glimming</t>
  </si>
  <si>
    <t>Mutador</t>
  </si>
  <si>
    <t>Venom</t>
  </si>
  <si>
    <t>Maha</t>
  </si>
  <si>
    <t>Spiderman</t>
  </si>
  <si>
    <t>Spider Gwen</t>
  </si>
  <si>
    <t>Doc Ock</t>
  </si>
  <si>
    <t>Niv-Mizzet</t>
  </si>
  <si>
    <t>Liliana</t>
  </si>
  <si>
    <t>Moxxi</t>
  </si>
  <si>
    <t>Narcissa</t>
  </si>
  <si>
    <t>Type</t>
  </si>
  <si>
    <t>Flying/Light</t>
  </si>
  <si>
    <t>Blood/Dark</t>
  </si>
  <si>
    <t>Rock/Gamma</t>
  </si>
  <si>
    <t>Flying/Electric/Dragon</t>
  </si>
  <si>
    <t>Ice/Flying</t>
  </si>
  <si>
    <t>Bug/Gamma</t>
  </si>
  <si>
    <t>Normal/Ghost</t>
  </si>
  <si>
    <t>Dragon/Fairy</t>
  </si>
  <si>
    <t>Normal</t>
  </si>
  <si>
    <t>Dark</t>
  </si>
  <si>
    <t>Dark/Flying</t>
  </si>
  <si>
    <t>Bug/Fight</t>
  </si>
  <si>
    <t>Dark/Fairy</t>
  </si>
  <si>
    <t>Psychic/Steel</t>
  </si>
  <si>
    <t>Water/Fire</t>
  </si>
  <si>
    <t>Dark/Ghost</t>
  </si>
  <si>
    <t>Fairy/Psychic</t>
  </si>
  <si>
    <t>Fairy/Ice</t>
  </si>
  <si>
    <t>Ability</t>
  </si>
  <si>
    <t>Statstealer</t>
  </si>
  <si>
    <t>Bloodhound</t>
  </si>
  <si>
    <t>Radioactive</t>
  </si>
  <si>
    <t>Cloud Body</t>
  </si>
  <si>
    <t>Winter's Bite</t>
  </si>
  <si>
    <t>Deadly Web</t>
  </si>
  <si>
    <t>Chameleon</t>
  </si>
  <si>
    <t>Glitter Scales</t>
  </si>
  <si>
    <t>Terrain Shift</t>
  </si>
  <si>
    <t>Alien Symbiote</t>
  </si>
  <si>
    <t>Night Vision</t>
  </si>
  <si>
    <t>Webslinger</t>
  </si>
  <si>
    <t>Attraction</t>
  </si>
  <si>
    <t>Antiswitcher</t>
  </si>
  <si>
    <t>Firemind</t>
  </si>
  <si>
    <t>Necromancer</t>
  </si>
  <si>
    <t>Bartender</t>
  </si>
  <si>
    <t>Cold Heart</t>
  </si>
  <si>
    <t>HP</t>
  </si>
  <si>
    <t>Atk</t>
  </si>
  <si>
    <t>Def</t>
  </si>
  <si>
    <t>Spa</t>
  </si>
  <si>
    <t>SpDef</t>
  </si>
  <si>
    <t>Spe</t>
  </si>
  <si>
    <t>BST</t>
  </si>
  <si>
    <t>Signature Move</t>
  </si>
  <si>
    <t>Adaptive Force</t>
  </si>
  <si>
    <t>Serrated Fangs</t>
  </si>
  <si>
    <t>Nuclear Explosion</t>
  </si>
  <si>
    <t>Striking Storm</t>
  </si>
  <si>
    <t>Frozen Wings</t>
  </si>
  <si>
    <t>Nuclear Fangs</t>
  </si>
  <si>
    <t>Spirit Beam</t>
  </si>
  <si>
    <t>Beauty Coil</t>
  </si>
  <si>
    <t>Fell Swoop</t>
  </si>
  <si>
    <t>Talk to the Hand</t>
  </si>
  <si>
    <t>Sig Move 2</t>
  </si>
  <si>
    <t>Disorienting Bite</t>
  </si>
  <si>
    <t>Nail Scratch</t>
  </si>
  <si>
    <t>Move 3</t>
  </si>
  <si>
    <t>Enchanting Spin</t>
  </si>
  <si>
    <t>Move 4</t>
  </si>
  <si>
    <t>Blown Kiss</t>
  </si>
  <si>
    <t>Logan's Custom Pokemon</t>
  </si>
  <si>
    <t>Mjolnislash</t>
  </si>
  <si>
    <t>Majesting</t>
  </si>
  <si>
    <t>Obscuring</t>
  </si>
  <si>
    <t>Trolossus</t>
  </si>
  <si>
    <t>Valkirien</t>
  </si>
  <si>
    <t>Dragrism</t>
  </si>
  <si>
    <t>Jormora</t>
  </si>
  <si>
    <t>Jarnoxe</t>
  </si>
  <si>
    <t>Gjallarhorn</t>
  </si>
  <si>
    <t>Valdrion</t>
  </si>
  <si>
    <t>Ignityr</t>
  </si>
  <si>
    <t>Skarnash</t>
  </si>
  <si>
    <t>Freylune</t>
  </si>
  <si>
    <t>Hafgrout</t>
  </si>
  <si>
    <t>Draughollow</t>
  </si>
  <si>
    <t>MindHoggr</t>
  </si>
  <si>
    <t>Ghost/Electric</t>
  </si>
  <si>
    <t>Fire/Psychic</t>
  </si>
  <si>
    <t>Water/Dark</t>
  </si>
  <si>
    <t>Grass/Ground</t>
  </si>
  <si>
    <t>Fairy/Light</t>
  </si>
  <si>
    <t>Dragon/Normal</t>
  </si>
  <si>
    <t>Poison/Rock</t>
  </si>
  <si>
    <t>Ice/Fighting</t>
  </si>
  <si>
    <t>Flying/Steel</t>
  </si>
  <si>
    <t>Steel/Light</t>
  </si>
  <si>
    <t>Fire/Ground</t>
  </si>
  <si>
    <t>Bug/Normal</t>
  </si>
  <si>
    <t>Grass/Fairy</t>
  </si>
  <si>
    <t>Water/Ground</t>
  </si>
  <si>
    <t>Ghost/Dark</t>
  </si>
  <si>
    <t>Psychic/Dragon</t>
  </si>
  <si>
    <t>Steelworker</t>
  </si>
  <si>
    <t>Cerebral Blaze</t>
  </si>
  <si>
    <t>Torrential Howl</t>
  </si>
  <si>
    <t>Thick Fat</t>
  </si>
  <si>
    <t>Fateful Strike</t>
  </si>
  <si>
    <t>Crystallization</t>
  </si>
  <si>
    <t>Toxic Tides</t>
  </si>
  <si>
    <t>Runesteel Hide</t>
  </si>
  <si>
    <t>Resonant Call</t>
  </si>
  <si>
    <t>Aesir's Will</t>
  </si>
  <si>
    <t>Valor's Grip</t>
  </si>
  <si>
    <t>Echo Messenger</t>
  </si>
  <si>
    <t>Brising Charm</t>
  </si>
  <si>
    <t>Abyssal Maw</t>
  </si>
  <si>
    <t>Hel's Grasp</t>
  </si>
  <si>
    <t>Nio Aura</t>
  </si>
  <si>
    <t>Smack Em Twice</t>
  </si>
  <si>
    <t>Pyrokinesis</t>
  </si>
  <si>
    <t>Lunar Tide</t>
  </si>
  <si>
    <t>Sylvan Lament</t>
  </si>
  <si>
    <t>Divine Rage</t>
  </si>
  <si>
    <t>Voidclaw</t>
  </si>
  <si>
    <t>Venomquake</t>
  </si>
  <si>
    <t>Runecleave</t>
  </si>
  <si>
    <t>Ragnarok Cry</t>
  </si>
  <si>
    <t>Radiant Spear</t>
  </si>
  <si>
    <t>Ember Oath</t>
  </si>
  <si>
    <t>Bark Bite</t>
  </si>
  <si>
    <t>Moonpetal Veil</t>
  </si>
  <si>
    <t>Whirlpool Maw</t>
  </si>
  <si>
    <t>Gravebind</t>
  </si>
  <si>
    <t>Fategnaw</t>
  </si>
  <si>
    <t>Joey's Custom Pokemon</t>
  </si>
  <si>
    <t>You can change this one or not use it if you want</t>
  </si>
  <si>
    <t>Sporump</t>
  </si>
  <si>
    <t>Ground/Grass</t>
  </si>
  <si>
    <t>Phantom Body</t>
  </si>
  <si>
    <t>Porous Wall</t>
  </si>
  <si>
    <t>Explosive Spores</t>
  </si>
  <si>
    <t>Root Guard</t>
  </si>
  <si>
    <t>Abilities Names</t>
  </si>
  <si>
    <t>Abilities Desc</t>
  </si>
  <si>
    <t>Move Names</t>
  </si>
  <si>
    <t>Move Desc</t>
  </si>
  <si>
    <t>When &lt;50% hp, +1 Speed and +1 SpA and fire moves do 25% more damage</t>
  </si>
  <si>
    <t>Upon dark type move usage, 30% chance to summon rain</t>
  </si>
  <si>
    <t>Supereffective moves have 30% chance to proc Burn, Para, Freeze, Frostbite</t>
  </si>
  <si>
    <t>Whatever Gem it's holding determines secondary typing. At end of turn, if gem hasn't been used, breaks the gem for an omniboost</t>
  </si>
  <si>
    <t>When this pokemon is out, all grounded non-poison pokemon lose 1/16th HP and Poison pokemon are healed for 1/16 HP every turn</t>
  </si>
  <si>
    <t>When hit with physical moves, 20% chance to drop attacker's attack and speed by 1. Add message "Stats dropped by Rune Configuration"</t>
  </si>
  <si>
    <t>Immune to sound based moves. All sound based moves gain +20% power and +1 priority</t>
  </si>
  <si>
    <t>On switch-in, light moves gain +1 priority for 1 turn. Also light moves are powered up by 10%</t>
  </si>
  <si>
    <t xml:space="preserve">If hit with a move that would faint it, it survives on 1HP once per battle. On the next turn, powers up Fire and Ground moves by 30% </t>
  </si>
  <si>
    <t>First move used by this pokemon always goes first (+5 priority)</t>
  </si>
  <si>
    <t>At the end of turn if this Pokémon used a Grass or Fairy move, restores 1/8 of its max HP</t>
  </si>
  <si>
    <t>When Pokémon enters, trap opposing grounded pokemon and they take 1/16th damage per turn for 5 turns.</t>
  </si>
  <si>
    <t>Same as Moxie</t>
  </si>
  <si>
    <t>Intimidate but for SpA</t>
  </si>
  <si>
    <t>Upon entry, steals the base stats (except for HP) of the Opponent</t>
  </si>
  <si>
    <t>Upon entry, force switch the opponent. Deals more damage to bleeding targets.</t>
  </si>
  <si>
    <t>All moves used by pokemon with this ability have their power randomly rolled between 50-150</t>
  </si>
  <si>
    <t>Non-Ice type foes take 1/16th HP chip damage at the end of every turn. Water pokemon and pokemon weak to ice take 1/8th instead. Ice type moves are powered up by 25%</t>
  </si>
  <si>
    <t>Type changes at the end of every turn to one type that resists the foe's primary typing and one type to be supereffective against the foe's primary typing</t>
  </si>
  <si>
    <t>When hit with any attack, trap the foe and mark them with insect sting condition</t>
  </si>
  <si>
    <t>Immune to weather moves (Blizzard, Thunder, Hurricane, etc.) and weather damage. In weather, gain immunity to that weather's type attacks</t>
  </si>
  <si>
    <t>Lowers opponent's accuracy by 1 stage on switch in. Reflects 10% of all damage taken back at the atacker</t>
  </si>
  <si>
    <t>On Switch-In, makes the opposing pokemon weak to dark type moves. This pokemon cannot miss Dark type moves</t>
  </si>
  <si>
    <t>Each time this pokemon uses a move, gain a random buff from a chosen list: Plays message saying "Moxxi drank X drink and was powered up!" After 4 turns of being on the field, user's ability becomes Truant</t>
  </si>
  <si>
    <t>Symbiosis</t>
  </si>
  <si>
    <t>Heals on KO (15% max HP). When user is knocked out, transfer Symbiosis to the foe (and trigger the healing)</t>
  </si>
  <si>
    <t>Lowers opponents' speed 1 stage on switch-in</t>
  </si>
  <si>
    <t>Infatuates foe on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</si>
</sst>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3" numFmtId="0" xfId="0" applyAlignment="1" applyFill="1" applyFont="1">
      <alignment horizontal="center" vertical="bottom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5" fontId="1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1" numFmtId="0" xfId="0" applyAlignment="1" applyFont="1">
      <alignment horizontal="left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5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5"/>
    <col customWidth="1" min="3" max="3" width="14.75"/>
    <col customWidth="1" min="4" max="4" width="17.75"/>
    <col customWidth="1" min="5" max="5" width="18.25"/>
    <col customWidth="1" min="13" max="13" width="14.88"/>
    <col customWidth="1" min="18" max="18" width="15.13"/>
    <col customWidth="1" min="19" max="19" width="15.38"/>
  </cols>
  <sheetData>
    <row r="1">
      <c r="A1" s="1" t="s">
        <v>0</v>
      </c>
      <c r="B1" s="2" t="s">
        <v>1</v>
      </c>
      <c r="E1" s="3" t="s">
        <v>2</v>
      </c>
      <c r="J1" s="4" t="s">
        <v>3</v>
      </c>
      <c r="N1" s="5" t="s">
        <v>4</v>
      </c>
    </row>
    <row r="2">
      <c r="A2" s="1"/>
    </row>
    <row r="3">
      <c r="A3" s="1" t="s">
        <v>5</v>
      </c>
    </row>
    <row r="4">
      <c r="A4" s="6" t="s">
        <v>6</v>
      </c>
      <c r="B4" s="7" t="s">
        <v>7</v>
      </c>
      <c r="C4" s="7" t="s">
        <v>8</v>
      </c>
      <c r="D4" s="8" t="s">
        <v>9</v>
      </c>
      <c r="E4" s="9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  <c r="O4" s="9" t="s">
        <v>20</v>
      </c>
      <c r="P4" s="9" t="s">
        <v>21</v>
      </c>
      <c r="Q4" s="9" t="s">
        <v>22</v>
      </c>
      <c r="R4" s="9" t="s">
        <v>23</v>
      </c>
      <c r="S4" s="9" t="s">
        <v>24</v>
      </c>
    </row>
    <row r="5">
      <c r="A5" s="6" t="s">
        <v>25</v>
      </c>
      <c r="B5" s="11" t="s">
        <v>26</v>
      </c>
      <c r="C5" s="11" t="s">
        <v>27</v>
      </c>
      <c r="D5" s="12" t="s">
        <v>28</v>
      </c>
      <c r="E5" s="13" t="s">
        <v>29</v>
      </c>
      <c r="F5" s="14" t="s">
        <v>30</v>
      </c>
      <c r="G5" s="14" t="s">
        <v>31</v>
      </c>
      <c r="H5" s="14" t="s">
        <v>32</v>
      </c>
      <c r="I5" s="14" t="s">
        <v>33</v>
      </c>
      <c r="J5" s="13" t="s">
        <v>34</v>
      </c>
      <c r="K5" s="13" t="s">
        <v>35</v>
      </c>
      <c r="L5" s="13" t="s">
        <v>36</v>
      </c>
      <c r="M5" s="13" t="s">
        <v>37</v>
      </c>
      <c r="N5" s="13" t="s">
        <v>38</v>
      </c>
      <c r="O5" s="13" t="s">
        <v>39</v>
      </c>
      <c r="P5" s="13" t="s">
        <v>40</v>
      </c>
      <c r="Q5" s="13" t="s">
        <v>41</v>
      </c>
      <c r="R5" s="13" t="s">
        <v>42</v>
      </c>
      <c r="S5" s="13" t="s">
        <v>43</v>
      </c>
    </row>
    <row r="6">
      <c r="A6" s="6" t="s">
        <v>44</v>
      </c>
      <c r="B6" s="7" t="s">
        <v>45</v>
      </c>
      <c r="C6" s="7" t="s">
        <v>46</v>
      </c>
      <c r="D6" s="15" t="s">
        <v>47</v>
      </c>
      <c r="E6" s="9" t="s">
        <v>48</v>
      </c>
      <c r="F6" s="10" t="s">
        <v>49</v>
      </c>
      <c r="G6" s="10" t="s">
        <v>50</v>
      </c>
      <c r="H6" s="10" t="s">
        <v>51</v>
      </c>
      <c r="I6" s="10" t="s">
        <v>52</v>
      </c>
      <c r="J6" s="16" t="s">
        <v>53</v>
      </c>
      <c r="K6" s="16" t="s">
        <v>54</v>
      </c>
      <c r="L6" s="16" t="s">
        <v>55</v>
      </c>
      <c r="M6" s="9" t="s">
        <v>56</v>
      </c>
      <c r="N6" s="9" t="s">
        <v>57</v>
      </c>
      <c r="O6" s="9" t="s">
        <v>58</v>
      </c>
      <c r="P6" s="16" t="s">
        <v>59</v>
      </c>
      <c r="Q6" s="16" t="s">
        <v>60</v>
      </c>
      <c r="R6" s="16" t="s">
        <v>61</v>
      </c>
      <c r="S6" s="17" t="s">
        <v>62</v>
      </c>
    </row>
    <row r="7">
      <c r="A7" s="18" t="s">
        <v>63</v>
      </c>
      <c r="B7" s="11">
        <v>100.0</v>
      </c>
      <c r="C7" s="11">
        <v>150.0</v>
      </c>
      <c r="D7" s="12">
        <v>71.0</v>
      </c>
      <c r="E7" s="13">
        <v>105.0</v>
      </c>
      <c r="F7" s="14">
        <v>90.0</v>
      </c>
      <c r="G7" s="14">
        <v>75.0</v>
      </c>
      <c r="H7" s="14">
        <v>100.0</v>
      </c>
      <c r="I7" s="14">
        <v>80.0</v>
      </c>
      <c r="J7" s="13">
        <v>95.0</v>
      </c>
      <c r="K7" s="13">
        <v>150.0</v>
      </c>
      <c r="L7" s="13">
        <v>70.0</v>
      </c>
      <c r="M7" s="13">
        <v>60.0</v>
      </c>
      <c r="N7" s="13">
        <v>75.0</v>
      </c>
      <c r="O7" s="13">
        <v>108.0</v>
      </c>
      <c r="P7" s="13">
        <v>110.0</v>
      </c>
      <c r="Q7" s="13">
        <v>95.0</v>
      </c>
      <c r="R7" s="13">
        <v>96.0</v>
      </c>
      <c r="S7" s="13">
        <v>75.0</v>
      </c>
      <c r="T7" s="19"/>
      <c r="U7" s="19"/>
      <c r="V7" s="19"/>
      <c r="W7" s="19"/>
      <c r="X7" s="19"/>
      <c r="Y7" s="19"/>
    </row>
    <row r="8">
      <c r="A8" s="18" t="s">
        <v>64</v>
      </c>
      <c r="B8" s="11">
        <v>20.0</v>
      </c>
      <c r="C8" s="11">
        <v>150.0</v>
      </c>
      <c r="D8" s="12">
        <v>91.0</v>
      </c>
      <c r="E8" s="13">
        <v>115.0</v>
      </c>
      <c r="F8" s="14">
        <v>65.0</v>
      </c>
      <c r="G8" s="14">
        <v>125.0</v>
      </c>
      <c r="H8" s="14">
        <v>95.0</v>
      </c>
      <c r="I8" s="14">
        <v>90.0</v>
      </c>
      <c r="J8" s="13">
        <v>95.0</v>
      </c>
      <c r="K8" s="13">
        <v>150.0</v>
      </c>
      <c r="L8" s="13">
        <v>120.0</v>
      </c>
      <c r="M8" s="13">
        <v>100.0</v>
      </c>
      <c r="N8" s="13">
        <v>50.0</v>
      </c>
      <c r="O8" s="13">
        <v>108.0</v>
      </c>
      <c r="P8" s="13">
        <v>60.0</v>
      </c>
      <c r="Q8" s="13">
        <v>95.0</v>
      </c>
      <c r="R8" s="13">
        <v>96.0</v>
      </c>
      <c r="S8" s="13">
        <v>115.0</v>
      </c>
      <c r="T8" s="19"/>
      <c r="U8" s="19"/>
      <c r="V8" s="19"/>
      <c r="W8" s="19"/>
      <c r="X8" s="19"/>
      <c r="Y8" s="19"/>
    </row>
    <row r="9">
      <c r="A9" s="18" t="s">
        <v>65</v>
      </c>
      <c r="B9" s="11">
        <v>20.0</v>
      </c>
      <c r="C9" s="11">
        <v>50.0</v>
      </c>
      <c r="D9" s="12">
        <v>92.0</v>
      </c>
      <c r="E9" s="13">
        <v>75.0</v>
      </c>
      <c r="F9" s="14">
        <v>70.0</v>
      </c>
      <c r="G9" s="14">
        <v>60.0</v>
      </c>
      <c r="H9" s="14">
        <v>90.0</v>
      </c>
      <c r="I9" s="14">
        <v>90.0</v>
      </c>
      <c r="J9" s="13">
        <v>95.0</v>
      </c>
      <c r="K9" s="13">
        <v>80.0</v>
      </c>
      <c r="L9" s="13">
        <v>90.0</v>
      </c>
      <c r="M9" s="13">
        <v>70.0</v>
      </c>
      <c r="N9" s="13">
        <v>60.0</v>
      </c>
      <c r="O9" s="13">
        <v>108.0</v>
      </c>
      <c r="P9" s="13">
        <v>100.0</v>
      </c>
      <c r="Q9" s="13">
        <v>95.0</v>
      </c>
      <c r="R9" s="13">
        <v>69.0</v>
      </c>
      <c r="S9" s="13">
        <v>56.0</v>
      </c>
      <c r="T9" s="19"/>
      <c r="U9" s="19"/>
      <c r="V9" s="19"/>
      <c r="W9" s="19"/>
      <c r="X9" s="19"/>
      <c r="Y9" s="19"/>
    </row>
    <row r="10">
      <c r="A10" s="18" t="s">
        <v>66</v>
      </c>
      <c r="B10" s="11">
        <v>20.0</v>
      </c>
      <c r="C10" s="11">
        <v>50.0</v>
      </c>
      <c r="D10" s="12">
        <v>111.0</v>
      </c>
      <c r="E10" s="13">
        <v>75.0</v>
      </c>
      <c r="F10" s="14">
        <v>130.0</v>
      </c>
      <c r="G10" s="14">
        <v>70.0</v>
      </c>
      <c r="H10" s="14">
        <v>100.0</v>
      </c>
      <c r="I10" s="14">
        <v>90.0</v>
      </c>
      <c r="J10" s="13">
        <v>95.0</v>
      </c>
      <c r="K10" s="13">
        <v>30.0</v>
      </c>
      <c r="L10" s="13">
        <v>50.0</v>
      </c>
      <c r="M10" s="13">
        <v>100.0</v>
      </c>
      <c r="N10" s="13">
        <v>130.0</v>
      </c>
      <c r="O10" s="13">
        <v>10.0</v>
      </c>
      <c r="P10" s="13">
        <v>130.0</v>
      </c>
      <c r="Q10" s="13">
        <v>95.0</v>
      </c>
      <c r="R10" s="13">
        <v>96.0</v>
      </c>
      <c r="S10" s="13">
        <v>60.0</v>
      </c>
      <c r="T10" s="19"/>
      <c r="U10" s="19"/>
      <c r="V10" s="19"/>
      <c r="W10" s="19"/>
      <c r="X10" s="19"/>
      <c r="Y10" s="19"/>
    </row>
    <row r="11">
      <c r="A11" s="18" t="s">
        <v>67</v>
      </c>
      <c r="B11" s="11">
        <v>20.0</v>
      </c>
      <c r="C11" s="11">
        <v>50.0</v>
      </c>
      <c r="D11" s="12">
        <v>91.0</v>
      </c>
      <c r="E11" s="13">
        <v>100.0</v>
      </c>
      <c r="F11" s="14">
        <v>95.0</v>
      </c>
      <c r="G11" s="14">
        <v>125.0</v>
      </c>
      <c r="H11" s="14">
        <v>85.0</v>
      </c>
      <c r="I11" s="14">
        <v>90.0</v>
      </c>
      <c r="J11" s="13">
        <v>95.0</v>
      </c>
      <c r="K11" s="13">
        <v>70.0</v>
      </c>
      <c r="L11" s="13">
        <v>70.0</v>
      </c>
      <c r="M11" s="13">
        <v>70.0</v>
      </c>
      <c r="N11" s="13">
        <v>100.0</v>
      </c>
      <c r="O11" s="13">
        <v>108.0</v>
      </c>
      <c r="P11" s="13">
        <v>100.0</v>
      </c>
      <c r="Q11" s="13">
        <v>95.0</v>
      </c>
      <c r="R11" s="13">
        <v>69.0</v>
      </c>
      <c r="S11" s="13">
        <v>142.0</v>
      </c>
      <c r="T11" s="19"/>
      <c r="U11" s="19"/>
      <c r="V11" s="19"/>
      <c r="W11" s="19"/>
      <c r="X11" s="19"/>
      <c r="Y11" s="19"/>
    </row>
    <row r="12">
      <c r="A12" s="18" t="s">
        <v>68</v>
      </c>
      <c r="B12" s="11">
        <v>20.0</v>
      </c>
      <c r="C12" s="11">
        <v>150.0</v>
      </c>
      <c r="D12" s="12">
        <v>99.0</v>
      </c>
      <c r="E12" s="13">
        <v>100.0</v>
      </c>
      <c r="F12" s="14">
        <v>110.0</v>
      </c>
      <c r="G12" s="14">
        <v>125.0</v>
      </c>
      <c r="H12" s="14">
        <v>80.0</v>
      </c>
      <c r="I12" s="14">
        <v>90.0</v>
      </c>
      <c r="J12" s="13">
        <v>95.0</v>
      </c>
      <c r="K12" s="13">
        <v>75.0</v>
      </c>
      <c r="L12" s="13">
        <v>90.0</v>
      </c>
      <c r="M12" s="13">
        <v>120.0</v>
      </c>
      <c r="N12" s="13">
        <v>105.0</v>
      </c>
      <c r="O12" s="13">
        <v>108.0</v>
      </c>
      <c r="P12" s="13">
        <v>100.0</v>
      </c>
      <c r="Q12" s="13">
        <v>95.0</v>
      </c>
      <c r="R12" s="13">
        <v>99.0</v>
      </c>
      <c r="S12" s="13">
        <v>112.0</v>
      </c>
      <c r="T12" s="19"/>
      <c r="U12" s="19"/>
      <c r="V12" s="19"/>
      <c r="W12" s="19"/>
      <c r="X12" s="19"/>
      <c r="Y12" s="19"/>
    </row>
    <row r="13">
      <c r="A13" s="18" t="s">
        <v>69</v>
      </c>
      <c r="B13" s="11">
        <f t="shared" ref="B13:D13" si="1">sum(B7:B12)</f>
        <v>200</v>
      </c>
      <c r="C13" s="11">
        <f t="shared" si="1"/>
        <v>600</v>
      </c>
      <c r="D13" s="12">
        <f t="shared" si="1"/>
        <v>555</v>
      </c>
      <c r="E13" s="13">
        <v>570.0</v>
      </c>
      <c r="F13" s="14">
        <v>560.0</v>
      </c>
      <c r="G13" s="14">
        <v>580.0</v>
      </c>
      <c r="H13" s="14">
        <v>550.0</v>
      </c>
      <c r="I13" s="14">
        <v>530.0</v>
      </c>
      <c r="J13" s="13">
        <f t="shared" ref="J13:S13" si="2">sum(J7:J12)</f>
        <v>570</v>
      </c>
      <c r="K13" s="13">
        <f t="shared" si="2"/>
        <v>555</v>
      </c>
      <c r="L13" s="13">
        <f t="shared" si="2"/>
        <v>490</v>
      </c>
      <c r="M13" s="13">
        <f t="shared" si="2"/>
        <v>520</v>
      </c>
      <c r="N13" s="13">
        <f t="shared" si="2"/>
        <v>520</v>
      </c>
      <c r="O13" s="13">
        <f t="shared" si="2"/>
        <v>550</v>
      </c>
      <c r="P13" s="13">
        <f t="shared" si="2"/>
        <v>600</v>
      </c>
      <c r="Q13" s="13">
        <f t="shared" si="2"/>
        <v>570</v>
      </c>
      <c r="R13" s="13">
        <f t="shared" si="2"/>
        <v>525</v>
      </c>
      <c r="S13" s="13">
        <f t="shared" si="2"/>
        <v>560</v>
      </c>
      <c r="T13" s="19"/>
      <c r="U13" s="19"/>
      <c r="V13" s="19"/>
      <c r="W13" s="19"/>
      <c r="X13" s="19"/>
      <c r="Y13" s="19"/>
    </row>
    <row r="14">
      <c r="A14" s="20" t="s">
        <v>70</v>
      </c>
      <c r="B14" s="10" t="s">
        <v>71</v>
      </c>
      <c r="C14" s="10" t="s">
        <v>72</v>
      </c>
      <c r="D14" s="21" t="s">
        <v>73</v>
      </c>
      <c r="E14" s="9" t="s">
        <v>74</v>
      </c>
      <c r="F14" s="10" t="s">
        <v>75</v>
      </c>
      <c r="G14" s="22" t="s">
        <v>76</v>
      </c>
      <c r="H14" s="10" t="s">
        <v>77</v>
      </c>
      <c r="I14" s="10" t="s">
        <v>78</v>
      </c>
      <c r="J14" s="19"/>
      <c r="K14" s="19"/>
      <c r="L14" s="21" t="s">
        <v>79</v>
      </c>
      <c r="M14" s="19"/>
      <c r="N14" s="19"/>
      <c r="O14" s="19"/>
      <c r="P14" s="19"/>
      <c r="Q14" s="19"/>
      <c r="S14" s="23" t="s">
        <v>80</v>
      </c>
      <c r="T14" s="19"/>
      <c r="U14" s="19"/>
      <c r="V14" s="19"/>
      <c r="W14" s="19"/>
      <c r="X14" s="19"/>
      <c r="Y14" s="19"/>
    </row>
    <row r="15">
      <c r="A15" s="1" t="s">
        <v>81</v>
      </c>
      <c r="B15" s="24"/>
      <c r="C15" s="25" t="s">
        <v>82</v>
      </c>
      <c r="S15" s="23" t="s">
        <v>83</v>
      </c>
    </row>
    <row r="16">
      <c r="A16" s="1" t="s">
        <v>84</v>
      </c>
      <c r="B16" s="24"/>
      <c r="C16" s="4"/>
      <c r="S16" s="23" t="s">
        <v>85</v>
      </c>
    </row>
    <row r="17">
      <c r="A17" s="1" t="s">
        <v>86</v>
      </c>
      <c r="B17" s="24"/>
      <c r="C17" s="4"/>
      <c r="S17" s="23" t="s">
        <v>87</v>
      </c>
    </row>
    <row r="18">
      <c r="A18" s="1" t="s">
        <v>88</v>
      </c>
    </row>
    <row r="19">
      <c r="A19" s="18" t="s">
        <v>6</v>
      </c>
      <c r="B19" s="10" t="s">
        <v>89</v>
      </c>
      <c r="C19" s="10" t="s">
        <v>90</v>
      </c>
      <c r="D19" s="10" t="s">
        <v>91</v>
      </c>
      <c r="E19" s="10" t="s">
        <v>92</v>
      </c>
      <c r="F19" s="10" t="s">
        <v>93</v>
      </c>
      <c r="G19" s="10" t="s">
        <v>94</v>
      </c>
      <c r="H19" s="9" t="s">
        <v>95</v>
      </c>
      <c r="I19" s="9" t="s">
        <v>96</v>
      </c>
      <c r="J19" s="9" t="s">
        <v>97</v>
      </c>
      <c r="K19" s="9" t="s">
        <v>98</v>
      </c>
      <c r="L19" s="9" t="s">
        <v>99</v>
      </c>
      <c r="M19" s="9" t="s">
        <v>100</v>
      </c>
      <c r="N19" s="9" t="s">
        <v>101</v>
      </c>
      <c r="O19" s="9" t="s">
        <v>102</v>
      </c>
      <c r="P19" s="9" t="s">
        <v>103</v>
      </c>
      <c r="Q19" s="9" t="s">
        <v>104</v>
      </c>
      <c r="R19" s="19"/>
      <c r="T19" s="19"/>
      <c r="U19" s="19"/>
      <c r="V19" s="19"/>
      <c r="W19" s="19"/>
      <c r="X19" s="19"/>
      <c r="Y19" s="19"/>
    </row>
    <row r="20">
      <c r="A20" s="18" t="s">
        <v>25</v>
      </c>
      <c r="B20" s="13" t="s">
        <v>105</v>
      </c>
      <c r="C20" s="13" t="s">
        <v>106</v>
      </c>
      <c r="D20" s="13" t="s">
        <v>107</v>
      </c>
      <c r="E20" s="13" t="s">
        <v>108</v>
      </c>
      <c r="F20" s="13" t="s">
        <v>109</v>
      </c>
      <c r="G20" s="13" t="s">
        <v>110</v>
      </c>
      <c r="H20" s="13" t="s">
        <v>111</v>
      </c>
      <c r="I20" s="13" t="s">
        <v>112</v>
      </c>
      <c r="J20" s="13" t="s">
        <v>113</v>
      </c>
      <c r="K20" s="13" t="s">
        <v>114</v>
      </c>
      <c r="L20" s="13" t="s">
        <v>115</v>
      </c>
      <c r="M20" s="13" t="s">
        <v>116</v>
      </c>
      <c r="N20" s="13" t="s">
        <v>117</v>
      </c>
      <c r="O20" s="13" t="s">
        <v>118</v>
      </c>
      <c r="P20" s="13" t="s">
        <v>119</v>
      </c>
      <c r="Q20" s="13" t="s">
        <v>120</v>
      </c>
      <c r="R20" s="19"/>
      <c r="S20" s="19"/>
      <c r="T20" s="19"/>
      <c r="U20" s="19"/>
      <c r="V20" s="19"/>
      <c r="W20" s="19"/>
      <c r="X20" s="19"/>
      <c r="Y20" s="19"/>
    </row>
    <row r="21">
      <c r="A21" s="18" t="s">
        <v>44</v>
      </c>
      <c r="B21" s="9" t="s">
        <v>121</v>
      </c>
      <c r="C21" s="9" t="s">
        <v>122</v>
      </c>
      <c r="D21" s="9" t="s">
        <v>123</v>
      </c>
      <c r="E21" s="9" t="s">
        <v>124</v>
      </c>
      <c r="F21" s="9" t="s">
        <v>125</v>
      </c>
      <c r="G21" s="9" t="s">
        <v>126</v>
      </c>
      <c r="H21" s="9" t="s">
        <v>127</v>
      </c>
      <c r="I21" s="9" t="s">
        <v>128</v>
      </c>
      <c r="J21" s="9" t="s">
        <v>129</v>
      </c>
      <c r="K21" s="9" t="s">
        <v>130</v>
      </c>
      <c r="L21" s="9" t="s">
        <v>131</v>
      </c>
      <c r="M21" s="9" t="s">
        <v>132</v>
      </c>
      <c r="N21" s="9" t="s">
        <v>133</v>
      </c>
      <c r="O21" s="21" t="s">
        <v>134</v>
      </c>
      <c r="P21" s="9" t="s">
        <v>135</v>
      </c>
      <c r="Q21" s="9" t="s">
        <v>136</v>
      </c>
      <c r="R21" s="19"/>
      <c r="S21" s="19"/>
      <c r="T21" s="19"/>
      <c r="U21" s="19"/>
      <c r="V21" s="19"/>
      <c r="W21" s="19"/>
      <c r="X21" s="19"/>
      <c r="Y21" s="19"/>
    </row>
    <row r="22">
      <c r="A22" s="18" t="s">
        <v>63</v>
      </c>
      <c r="B22" s="13">
        <v>70.0</v>
      </c>
      <c r="C22" s="13">
        <v>90.0</v>
      </c>
      <c r="D22" s="13">
        <v>80.0</v>
      </c>
      <c r="E22" s="13">
        <v>100.0</v>
      </c>
      <c r="F22" s="13">
        <v>90.0</v>
      </c>
      <c r="G22" s="13">
        <v>85.0</v>
      </c>
      <c r="H22" s="13">
        <v>100.0</v>
      </c>
      <c r="I22" s="13">
        <v>95.0</v>
      </c>
      <c r="J22" s="13">
        <v>85.0</v>
      </c>
      <c r="K22" s="13">
        <v>95.0</v>
      </c>
      <c r="L22" s="13">
        <v>80.0</v>
      </c>
      <c r="M22" s="13">
        <v>80.0</v>
      </c>
      <c r="N22" s="13">
        <v>95.0</v>
      </c>
      <c r="O22" s="13">
        <v>110.0</v>
      </c>
      <c r="P22" s="13">
        <v>80.0</v>
      </c>
      <c r="Q22" s="13">
        <v>90.0</v>
      </c>
      <c r="R22" s="19"/>
      <c r="S22" s="19"/>
      <c r="T22" s="19"/>
      <c r="U22" s="19"/>
      <c r="V22" s="19"/>
      <c r="W22" s="19"/>
      <c r="X22" s="19"/>
      <c r="Y22" s="19"/>
    </row>
    <row r="23">
      <c r="A23" s="18" t="s">
        <v>64</v>
      </c>
      <c r="B23" s="13">
        <v>120.0</v>
      </c>
      <c r="C23" s="13">
        <v>65.0</v>
      </c>
      <c r="D23" s="13">
        <v>55.0</v>
      </c>
      <c r="E23" s="13">
        <v>65.0</v>
      </c>
      <c r="F23" s="13">
        <v>115.0</v>
      </c>
      <c r="G23" s="13">
        <v>115.0</v>
      </c>
      <c r="H23" s="13">
        <v>100.0</v>
      </c>
      <c r="I23" s="13">
        <v>135.0</v>
      </c>
      <c r="J23" s="13">
        <v>70.0</v>
      </c>
      <c r="K23" s="13">
        <v>120.0</v>
      </c>
      <c r="L23" s="13">
        <v>115.0</v>
      </c>
      <c r="M23" s="13">
        <v>100.0</v>
      </c>
      <c r="N23" s="13">
        <v>70.0</v>
      </c>
      <c r="O23" s="13">
        <v>70.0</v>
      </c>
      <c r="P23" s="13">
        <v>120.0</v>
      </c>
      <c r="Q23" s="13">
        <v>75.0</v>
      </c>
      <c r="R23" s="19"/>
      <c r="S23" s="19"/>
      <c r="T23" s="19"/>
      <c r="U23" s="19"/>
      <c r="V23" s="19"/>
      <c r="W23" s="19"/>
      <c r="X23" s="19"/>
      <c r="Y23" s="19"/>
    </row>
    <row r="24">
      <c r="A24" s="18" t="s">
        <v>65</v>
      </c>
      <c r="B24" s="13">
        <v>120.0</v>
      </c>
      <c r="C24" s="13">
        <v>75.0</v>
      </c>
      <c r="D24" s="13">
        <v>70.0</v>
      </c>
      <c r="E24" s="13">
        <v>90.0</v>
      </c>
      <c r="F24" s="13">
        <v>110.0</v>
      </c>
      <c r="G24" s="13">
        <v>100.0</v>
      </c>
      <c r="H24" s="13">
        <v>110.0</v>
      </c>
      <c r="I24" s="13">
        <v>115.0</v>
      </c>
      <c r="J24" s="13">
        <v>95.0</v>
      </c>
      <c r="K24" s="13">
        <v>110.0</v>
      </c>
      <c r="L24" s="13">
        <v>100.0</v>
      </c>
      <c r="M24" s="13">
        <v>70.0</v>
      </c>
      <c r="N24" s="13">
        <v>85.0</v>
      </c>
      <c r="O24" s="13">
        <v>115.0</v>
      </c>
      <c r="P24" s="13">
        <v>90.0</v>
      </c>
      <c r="Q24" s="13">
        <v>100.0</v>
      </c>
      <c r="R24" s="19"/>
      <c r="S24" s="19"/>
      <c r="T24" s="19"/>
      <c r="U24" s="19"/>
      <c r="V24" s="19"/>
      <c r="W24" s="19"/>
      <c r="X24" s="19"/>
      <c r="Y24" s="19"/>
    </row>
    <row r="25">
      <c r="A25" s="18" t="s">
        <v>66</v>
      </c>
      <c r="B25" s="13">
        <v>40.0</v>
      </c>
      <c r="C25" s="13">
        <v>100.0</v>
      </c>
      <c r="D25" s="13">
        <v>130.0</v>
      </c>
      <c r="E25" s="13">
        <v>120.0</v>
      </c>
      <c r="F25" s="13">
        <v>60.0</v>
      </c>
      <c r="G25" s="13">
        <v>90.0</v>
      </c>
      <c r="H25" s="13">
        <v>60.0</v>
      </c>
      <c r="I25" s="13">
        <v>50.0</v>
      </c>
      <c r="J25" s="13">
        <v>115.0</v>
      </c>
      <c r="K25" s="13">
        <v>85.0</v>
      </c>
      <c r="L25" s="13">
        <v>60.0</v>
      </c>
      <c r="M25" s="13">
        <v>60.0</v>
      </c>
      <c r="N25" s="13">
        <v>115.0</v>
      </c>
      <c r="O25" s="13">
        <v>110.0</v>
      </c>
      <c r="P25" s="13">
        <v>65.0</v>
      </c>
      <c r="Q25" s="13">
        <v>125.0</v>
      </c>
      <c r="R25" s="19"/>
      <c r="S25" s="19"/>
      <c r="T25" s="19"/>
      <c r="U25" s="19"/>
      <c r="V25" s="19"/>
      <c r="W25" s="19"/>
      <c r="X25" s="19"/>
      <c r="Y25" s="19"/>
    </row>
    <row r="26">
      <c r="A26" s="18" t="s">
        <v>67</v>
      </c>
      <c r="B26" s="13">
        <v>70.0</v>
      </c>
      <c r="C26" s="13">
        <v>100.0</v>
      </c>
      <c r="D26" s="13">
        <v>100.0</v>
      </c>
      <c r="E26" s="13">
        <v>110.0</v>
      </c>
      <c r="F26" s="13">
        <v>90.0</v>
      </c>
      <c r="G26" s="13">
        <v>110.0</v>
      </c>
      <c r="H26" s="13">
        <v>110.0</v>
      </c>
      <c r="I26" s="13">
        <v>95.0</v>
      </c>
      <c r="J26" s="13">
        <v>100.0</v>
      </c>
      <c r="K26" s="13">
        <v>100.0</v>
      </c>
      <c r="L26" s="13">
        <v>90.0</v>
      </c>
      <c r="M26" s="13">
        <v>70.0</v>
      </c>
      <c r="N26" s="13">
        <v>100.0</v>
      </c>
      <c r="O26" s="13">
        <v>110.0</v>
      </c>
      <c r="P26" s="13">
        <v>85.0</v>
      </c>
      <c r="Q26" s="13">
        <v>105.0</v>
      </c>
      <c r="R26" s="19"/>
      <c r="S26" s="19"/>
      <c r="T26" s="19"/>
      <c r="U26" s="19"/>
      <c r="V26" s="19"/>
      <c r="W26" s="19"/>
      <c r="X26" s="19"/>
      <c r="Y26" s="19"/>
    </row>
    <row r="27">
      <c r="A27" s="18" t="s">
        <v>68</v>
      </c>
      <c r="B27" s="13">
        <v>80.0</v>
      </c>
      <c r="C27" s="13">
        <v>90.0</v>
      </c>
      <c r="D27" s="13">
        <v>110.0</v>
      </c>
      <c r="E27" s="13">
        <v>80.0</v>
      </c>
      <c r="F27" s="13">
        <v>115.0</v>
      </c>
      <c r="G27" s="13">
        <v>100.0</v>
      </c>
      <c r="H27" s="13">
        <v>65.0</v>
      </c>
      <c r="I27" s="13">
        <v>75.0</v>
      </c>
      <c r="J27" s="13">
        <v>115.0</v>
      </c>
      <c r="K27" s="13">
        <v>90.0</v>
      </c>
      <c r="L27" s="13">
        <v>85.0</v>
      </c>
      <c r="M27" s="13">
        <v>120.0</v>
      </c>
      <c r="N27" s="13">
        <v>89.0</v>
      </c>
      <c r="O27" s="13">
        <v>45.0</v>
      </c>
      <c r="P27" s="13">
        <v>80.0</v>
      </c>
      <c r="Q27" s="13">
        <v>85.0</v>
      </c>
      <c r="R27" s="19"/>
      <c r="S27" s="19"/>
      <c r="T27" s="19"/>
      <c r="U27" s="19"/>
      <c r="V27" s="19"/>
      <c r="W27" s="19"/>
      <c r="X27" s="19"/>
      <c r="Y27" s="19"/>
    </row>
    <row r="28">
      <c r="A28" s="18" t="s">
        <v>69</v>
      </c>
      <c r="B28" s="13">
        <v>500.0</v>
      </c>
      <c r="C28" s="13">
        <v>520.0</v>
      </c>
      <c r="D28" s="13">
        <v>545.0</v>
      </c>
      <c r="E28" s="13">
        <v>565.0</v>
      </c>
      <c r="F28" s="13">
        <v>580.0</v>
      </c>
      <c r="G28" s="13">
        <v>600.0</v>
      </c>
      <c r="H28" s="13">
        <v>545.0</v>
      </c>
      <c r="I28" s="13">
        <v>565.0</v>
      </c>
      <c r="J28" s="13">
        <v>580.0</v>
      </c>
      <c r="K28" s="13">
        <v>600.0</v>
      </c>
      <c r="L28" s="13">
        <v>530.0</v>
      </c>
      <c r="M28" s="13">
        <f t="shared" ref="M28:Q28" si="3">sum(M22:M27)</f>
        <v>500</v>
      </c>
      <c r="N28" s="13">
        <f t="shared" si="3"/>
        <v>554</v>
      </c>
      <c r="O28" s="13">
        <f t="shared" si="3"/>
        <v>560</v>
      </c>
      <c r="P28" s="13">
        <f t="shared" si="3"/>
        <v>520</v>
      </c>
      <c r="Q28" s="13">
        <f t="shared" si="3"/>
        <v>580</v>
      </c>
      <c r="R28" s="19"/>
      <c r="S28" s="19"/>
      <c r="T28" s="19"/>
      <c r="U28" s="19"/>
      <c r="V28" s="19"/>
      <c r="W28" s="19"/>
      <c r="X28" s="19"/>
      <c r="Y28" s="19"/>
    </row>
    <row r="29">
      <c r="A29" s="20" t="s">
        <v>70</v>
      </c>
      <c r="B29" s="21" t="s">
        <v>137</v>
      </c>
      <c r="C29" s="21" t="s">
        <v>138</v>
      </c>
      <c r="D29" s="21" t="s">
        <v>139</v>
      </c>
      <c r="E29" s="21" t="s">
        <v>140</v>
      </c>
      <c r="F29" s="21" t="s">
        <v>141</v>
      </c>
      <c r="G29" s="21" t="s">
        <v>142</v>
      </c>
      <c r="H29" s="21" t="s">
        <v>143</v>
      </c>
      <c r="I29" s="21" t="s">
        <v>144</v>
      </c>
      <c r="J29" s="21" t="s">
        <v>145</v>
      </c>
      <c r="K29" s="21" t="s">
        <v>146</v>
      </c>
      <c r="L29" s="21" t="s">
        <v>147</v>
      </c>
      <c r="M29" s="21" t="s">
        <v>148</v>
      </c>
      <c r="N29" s="16" t="s">
        <v>149</v>
      </c>
      <c r="O29" s="16" t="s">
        <v>150</v>
      </c>
      <c r="P29" s="16" t="s">
        <v>151</v>
      </c>
      <c r="Q29" s="16" t="s">
        <v>152</v>
      </c>
      <c r="R29" s="19"/>
      <c r="S29" s="19"/>
      <c r="T29" s="19"/>
      <c r="U29" s="19"/>
      <c r="V29" s="19"/>
      <c r="W29" s="19"/>
      <c r="X29" s="19"/>
      <c r="Y29" s="19"/>
    </row>
    <row r="30">
      <c r="A30" s="20" t="s">
        <v>153</v>
      </c>
      <c r="B30" s="19"/>
      <c r="C30" s="26" t="s">
        <v>154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8" t="s">
        <v>6</v>
      </c>
      <c r="B31" s="19"/>
      <c r="C31" s="13" t="s">
        <v>155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18" t="s">
        <v>25</v>
      </c>
      <c r="B32" s="13" t="s">
        <v>41</v>
      </c>
      <c r="C32" s="13" t="s">
        <v>156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18" t="s">
        <v>44</v>
      </c>
      <c r="B33" s="13" t="s">
        <v>157</v>
      </c>
      <c r="C33" s="13" t="s">
        <v>158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8" t="s">
        <v>63</v>
      </c>
      <c r="B34" s="19"/>
      <c r="C34" s="13">
        <v>80.0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8" t="s">
        <v>64</v>
      </c>
      <c r="B35" s="19"/>
      <c r="C35" s="13">
        <v>50.0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18" t="s">
        <v>65</v>
      </c>
      <c r="B36" s="19"/>
      <c r="C36" s="13">
        <v>200.0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18" t="s">
        <v>66</v>
      </c>
      <c r="B37" s="19"/>
      <c r="C37" s="13">
        <v>50.0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18" t="s">
        <v>67</v>
      </c>
      <c r="B38" s="19"/>
      <c r="C38" s="13">
        <v>200.0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18" t="s">
        <v>68</v>
      </c>
      <c r="B39" s="19"/>
      <c r="C39" s="13">
        <v>20.0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18" t="s">
        <v>69</v>
      </c>
      <c r="B40" s="19"/>
      <c r="C40" s="13">
        <v>600.0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1" t="s">
        <v>70</v>
      </c>
      <c r="C41" s="27" t="s">
        <v>159</v>
      </c>
    </row>
    <row r="42">
      <c r="C42" s="27" t="s">
        <v>160</v>
      </c>
    </row>
    <row r="45">
      <c r="A45" s="1" t="s">
        <v>161</v>
      </c>
      <c r="B45" s="1" t="s">
        <v>162</v>
      </c>
      <c r="K45" s="1" t="s">
        <v>163</v>
      </c>
      <c r="L45" s="1" t="s">
        <v>164</v>
      </c>
    </row>
    <row r="46">
      <c r="A46" s="20" t="s">
        <v>122</v>
      </c>
      <c r="B46" s="28" t="s">
        <v>165</v>
      </c>
    </row>
    <row r="47">
      <c r="A47" s="20" t="s">
        <v>123</v>
      </c>
      <c r="B47" s="1" t="s">
        <v>166</v>
      </c>
    </row>
    <row r="48">
      <c r="A48" s="20" t="s">
        <v>125</v>
      </c>
      <c r="B48" s="28" t="s">
        <v>167</v>
      </c>
    </row>
    <row r="49">
      <c r="A49" s="20" t="s">
        <v>126</v>
      </c>
      <c r="B49" s="28" t="s">
        <v>168</v>
      </c>
    </row>
    <row r="50">
      <c r="A50" s="20" t="s">
        <v>127</v>
      </c>
      <c r="B50" s="28" t="s">
        <v>169</v>
      </c>
    </row>
    <row r="51">
      <c r="A51" s="20" t="s">
        <v>128</v>
      </c>
      <c r="B51" s="28" t="s">
        <v>170</v>
      </c>
    </row>
    <row r="52">
      <c r="A52" s="20" t="s">
        <v>129</v>
      </c>
      <c r="B52" s="28" t="s">
        <v>171</v>
      </c>
    </row>
    <row r="53">
      <c r="A53" s="20" t="s">
        <v>130</v>
      </c>
      <c r="B53" s="28" t="s">
        <v>172</v>
      </c>
    </row>
    <row r="54">
      <c r="A54" s="20" t="s">
        <v>131</v>
      </c>
      <c r="B54" s="28" t="s">
        <v>173</v>
      </c>
    </row>
    <row r="55">
      <c r="A55" s="20" t="s">
        <v>132</v>
      </c>
      <c r="B55" s="28" t="s">
        <v>174</v>
      </c>
    </row>
    <row r="56">
      <c r="A56" s="20" t="s">
        <v>133</v>
      </c>
      <c r="B56" s="28" t="s">
        <v>175</v>
      </c>
    </row>
    <row r="57">
      <c r="A57" s="20" t="s">
        <v>134</v>
      </c>
      <c r="B57" s="28" t="s">
        <v>176</v>
      </c>
    </row>
    <row r="58">
      <c r="A58" s="20" t="s">
        <v>135</v>
      </c>
      <c r="B58" s="28" t="s">
        <v>177</v>
      </c>
    </row>
    <row r="59">
      <c r="A59" s="20" t="s">
        <v>136</v>
      </c>
      <c r="B59" s="28" t="s">
        <v>178</v>
      </c>
    </row>
    <row r="60">
      <c r="A60" s="1" t="s">
        <v>45</v>
      </c>
      <c r="B60" s="1" t="s">
        <v>179</v>
      </c>
    </row>
    <row r="61">
      <c r="A61" s="1" t="s">
        <v>46</v>
      </c>
      <c r="B61" s="1" t="s">
        <v>180</v>
      </c>
    </row>
    <row r="62">
      <c r="A62" s="1" t="s">
        <v>47</v>
      </c>
      <c r="B62" s="1" t="s">
        <v>181</v>
      </c>
    </row>
    <row r="63">
      <c r="A63" s="1" t="s">
        <v>49</v>
      </c>
      <c r="B63" s="1" t="s">
        <v>182</v>
      </c>
    </row>
    <row r="64">
      <c r="A64" s="1" t="s">
        <v>51</v>
      </c>
      <c r="B64" s="1" t="s">
        <v>183</v>
      </c>
    </row>
    <row r="65">
      <c r="A65" s="1" t="s">
        <v>50</v>
      </c>
      <c r="B65" s="1" t="s">
        <v>184</v>
      </c>
    </row>
    <row r="66">
      <c r="A66" s="1" t="s">
        <v>48</v>
      </c>
      <c r="B66" s="1" t="s">
        <v>185</v>
      </c>
    </row>
    <row r="67">
      <c r="A67" s="1" t="s">
        <v>52</v>
      </c>
      <c r="B67" s="1" t="s">
        <v>186</v>
      </c>
    </row>
    <row r="68">
      <c r="A68" s="1" t="s">
        <v>55</v>
      </c>
      <c r="B68" s="1" t="s">
        <v>187</v>
      </c>
    </row>
    <row r="69">
      <c r="A69" s="1" t="s">
        <v>61</v>
      </c>
      <c r="B69" s="1" t="s">
        <v>188</v>
      </c>
    </row>
    <row r="70">
      <c r="A70" s="1" t="s">
        <v>189</v>
      </c>
      <c r="B70" s="1" t="s">
        <v>190</v>
      </c>
    </row>
    <row r="71">
      <c r="A71" s="1" t="s">
        <v>56</v>
      </c>
      <c r="B71" s="1" t="s">
        <v>191</v>
      </c>
    </row>
    <row r="72">
      <c r="A72" s="1" t="s">
        <v>57</v>
      </c>
      <c r="B72" s="1" t="s">
        <v>192</v>
      </c>
    </row>
  </sheetData>
  <drawing r:id="rId1"/>
</worksheet>
</file>